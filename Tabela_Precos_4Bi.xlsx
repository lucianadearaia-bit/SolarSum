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13_ncr:1_{C289DBE1-877A-44C0-9D14-E264C09C72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oes" sheetId="1" r:id="rId1"/>
    <sheet name="Tabela de Precos 4Bi" sheetId="2" r:id="rId2"/>
  </sheets>
  <definedNames>
    <definedName name="_xlnm._FilterDatabase" localSheetId="1" hidden="1">'Tabela de Precos 4Bi'!$B$4:$O$84</definedName>
    <definedName name="_xlnm.Print_Area" localSheetId="1">'Tabela de Precos 4Bi'!$B$2:$O$84</definedName>
    <definedName name="_xlnm.Print_Titles" localSheetId="1">'Tabela de Precos 4Bi'!$1:$4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4" i="2" l="1"/>
  <c r="N84" i="2" s="1"/>
  <c r="C84" i="2"/>
  <c r="B84" i="2"/>
  <c r="M83" i="2"/>
  <c r="N83" i="2" s="1"/>
  <c r="C83" i="2"/>
  <c r="B83" i="2"/>
  <c r="M82" i="2"/>
  <c r="N82" i="2" s="1"/>
  <c r="C82" i="2"/>
  <c r="B82" i="2"/>
  <c r="M81" i="2"/>
  <c r="N81" i="2" s="1"/>
  <c r="C81" i="2"/>
  <c r="B81" i="2"/>
  <c r="M80" i="2"/>
  <c r="N80" i="2" s="1"/>
  <c r="C80" i="2"/>
  <c r="B80" i="2"/>
  <c r="M79" i="2"/>
  <c r="N79" i="2" s="1"/>
  <c r="C79" i="2"/>
  <c r="B79" i="2"/>
  <c r="M78" i="2"/>
  <c r="N78" i="2" s="1"/>
  <c r="C78" i="2"/>
  <c r="B78" i="2"/>
  <c r="M77" i="2"/>
  <c r="N77" i="2" s="1"/>
  <c r="C77" i="2"/>
  <c r="B77" i="2"/>
  <c r="M76" i="2"/>
  <c r="N76" i="2" s="1"/>
  <c r="C76" i="2"/>
  <c r="B76" i="2"/>
  <c r="M75" i="2"/>
  <c r="N75" i="2" s="1"/>
  <c r="C75" i="2"/>
  <c r="B75" i="2"/>
  <c r="M74" i="2"/>
  <c r="N74" i="2" s="1"/>
  <c r="C74" i="2"/>
  <c r="B74" i="2"/>
  <c r="M73" i="2"/>
  <c r="N73" i="2" s="1"/>
  <c r="C73" i="2"/>
  <c r="B73" i="2"/>
  <c r="M72" i="2"/>
  <c r="N72" i="2" s="1"/>
  <c r="C72" i="2"/>
  <c r="B72" i="2"/>
  <c r="M71" i="2"/>
  <c r="N71" i="2" s="1"/>
  <c r="C71" i="2"/>
  <c r="B71" i="2"/>
  <c r="M70" i="2"/>
  <c r="N70" i="2" s="1"/>
  <c r="C70" i="2"/>
  <c r="B70" i="2"/>
  <c r="M69" i="2"/>
  <c r="N69" i="2" s="1"/>
  <c r="C69" i="2"/>
  <c r="B69" i="2"/>
  <c r="M68" i="2"/>
  <c r="N68" i="2" s="1"/>
  <c r="C68" i="2"/>
  <c r="B68" i="2"/>
  <c r="M67" i="2"/>
  <c r="N67" i="2" s="1"/>
  <c r="C67" i="2"/>
  <c r="B67" i="2"/>
  <c r="M66" i="2"/>
  <c r="N66" i="2" s="1"/>
  <c r="C66" i="2"/>
  <c r="B66" i="2"/>
  <c r="M65" i="2"/>
  <c r="N65" i="2" s="1"/>
  <c r="C65" i="2"/>
  <c r="B65" i="2"/>
  <c r="M64" i="2"/>
  <c r="N64" i="2" s="1"/>
  <c r="C64" i="2"/>
  <c r="B64" i="2"/>
  <c r="M63" i="2"/>
  <c r="N63" i="2" s="1"/>
  <c r="C63" i="2"/>
  <c r="B63" i="2"/>
  <c r="M62" i="2"/>
  <c r="N62" i="2" s="1"/>
  <c r="C62" i="2"/>
  <c r="M61" i="2"/>
  <c r="N61" i="2" s="1"/>
  <c r="C61" i="2"/>
  <c r="M60" i="2"/>
  <c r="N60" i="2" s="1"/>
  <c r="C60" i="2"/>
  <c r="M59" i="2"/>
  <c r="N59" i="2" s="1"/>
  <c r="C59" i="2"/>
  <c r="M58" i="2"/>
  <c r="N58" i="2" s="1"/>
  <c r="C58" i="2"/>
  <c r="M57" i="2"/>
  <c r="N57" i="2" s="1"/>
  <c r="C57" i="2"/>
  <c r="M56" i="2"/>
  <c r="N56" i="2" s="1"/>
  <c r="C56" i="2"/>
  <c r="M55" i="2"/>
  <c r="N55" i="2" s="1"/>
  <c r="C55" i="2"/>
  <c r="M54" i="2"/>
  <c r="N54" i="2" s="1"/>
  <c r="C54" i="2"/>
  <c r="M53" i="2"/>
  <c r="N53" i="2" s="1"/>
  <c r="C53" i="2"/>
  <c r="M52" i="2"/>
  <c r="N52" i="2" s="1"/>
  <c r="C52" i="2"/>
  <c r="M51" i="2"/>
  <c r="N51" i="2" s="1"/>
  <c r="C51" i="2"/>
  <c r="M50" i="2"/>
  <c r="N50" i="2" s="1"/>
  <c r="C50" i="2"/>
  <c r="M49" i="2"/>
  <c r="N49" i="2" s="1"/>
  <c r="C49" i="2"/>
  <c r="M48" i="2"/>
  <c r="N48" i="2" s="1"/>
  <c r="C48" i="2"/>
  <c r="M47" i="2"/>
  <c r="N47" i="2" s="1"/>
  <c r="C47" i="2"/>
  <c r="M46" i="2"/>
  <c r="N46" i="2" s="1"/>
  <c r="C46" i="2"/>
  <c r="M45" i="2"/>
  <c r="N45" i="2" s="1"/>
  <c r="C45" i="2"/>
  <c r="M44" i="2"/>
  <c r="N44" i="2" s="1"/>
  <c r="C44" i="2"/>
  <c r="M43" i="2"/>
  <c r="N43" i="2" s="1"/>
  <c r="C43" i="2"/>
  <c r="M42" i="2"/>
  <c r="N42" i="2" s="1"/>
  <c r="C42" i="2"/>
  <c r="M41" i="2"/>
  <c r="N41" i="2" s="1"/>
  <c r="C41" i="2"/>
  <c r="M40" i="2"/>
  <c r="N40" i="2" s="1"/>
  <c r="C40" i="2"/>
  <c r="M39" i="2"/>
  <c r="N39" i="2" s="1"/>
  <c r="C39" i="2"/>
  <c r="M38" i="2"/>
  <c r="N38" i="2" s="1"/>
  <c r="C38" i="2"/>
  <c r="M37" i="2"/>
  <c r="N37" i="2" s="1"/>
  <c r="C37" i="2"/>
  <c r="M36" i="2"/>
  <c r="N36" i="2" s="1"/>
  <c r="C36" i="2"/>
  <c r="M35" i="2"/>
  <c r="N35" i="2" s="1"/>
  <c r="C35" i="2"/>
  <c r="M34" i="2"/>
  <c r="N34" i="2" s="1"/>
  <c r="C34" i="2"/>
  <c r="M33" i="2"/>
  <c r="N33" i="2" s="1"/>
  <c r="C33" i="2"/>
  <c r="M32" i="2"/>
  <c r="N32" i="2" s="1"/>
  <c r="C32" i="2"/>
  <c r="M31" i="2"/>
  <c r="N31" i="2" s="1"/>
  <c r="C31" i="2"/>
  <c r="M30" i="2"/>
  <c r="N30" i="2" s="1"/>
  <c r="C30" i="2"/>
  <c r="M29" i="2"/>
  <c r="N29" i="2" s="1"/>
  <c r="C29" i="2"/>
  <c r="M28" i="2"/>
  <c r="N28" i="2" s="1"/>
  <c r="C28" i="2"/>
  <c r="M27" i="2"/>
  <c r="N27" i="2" s="1"/>
  <c r="C27" i="2"/>
  <c r="M26" i="2"/>
  <c r="N26" i="2" s="1"/>
  <c r="C26" i="2"/>
  <c r="M25" i="2"/>
  <c r="N25" i="2" s="1"/>
  <c r="C25" i="2"/>
  <c r="M24" i="2"/>
  <c r="N24" i="2" s="1"/>
  <c r="C24" i="2"/>
  <c r="M23" i="2"/>
  <c r="N23" i="2" s="1"/>
  <c r="C23" i="2"/>
  <c r="M22" i="2"/>
  <c r="N22" i="2" s="1"/>
  <c r="C22" i="2"/>
  <c r="M21" i="2"/>
  <c r="N21" i="2" s="1"/>
  <c r="C21" i="2"/>
  <c r="M20" i="2"/>
  <c r="N20" i="2" s="1"/>
  <c r="C20" i="2"/>
  <c r="M19" i="2"/>
  <c r="N19" i="2" s="1"/>
  <c r="C19" i="2"/>
  <c r="M18" i="2"/>
  <c r="N18" i="2" s="1"/>
  <c r="C18" i="2"/>
  <c r="M17" i="2"/>
  <c r="N17" i="2" s="1"/>
  <c r="C17" i="2"/>
  <c r="M16" i="2"/>
  <c r="N16" i="2" s="1"/>
  <c r="C16" i="2"/>
  <c r="M15" i="2"/>
  <c r="N15" i="2" s="1"/>
  <c r="C15" i="2"/>
  <c r="M14" i="2"/>
  <c r="N14" i="2" s="1"/>
  <c r="C14" i="2"/>
  <c r="M13" i="2"/>
  <c r="N13" i="2" s="1"/>
  <c r="C13" i="2"/>
  <c r="M12" i="2"/>
  <c r="N12" i="2" s="1"/>
  <c r="C12" i="2"/>
  <c r="M11" i="2"/>
  <c r="N11" i="2" s="1"/>
  <c r="C11" i="2"/>
  <c r="M10" i="2"/>
  <c r="N10" i="2" s="1"/>
  <c r="C10" i="2"/>
  <c r="M9" i="2"/>
  <c r="N9" i="2" s="1"/>
  <c r="C9" i="2"/>
  <c r="M8" i="2"/>
  <c r="N8" i="2" s="1"/>
  <c r="C8" i="2"/>
  <c r="M7" i="2"/>
  <c r="N7" i="2" s="1"/>
  <c r="C7" i="2"/>
  <c r="M6" i="2"/>
  <c r="N6" i="2" s="1"/>
  <c r="C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M5" i="2"/>
  <c r="N5" i="2" s="1"/>
  <c r="C5" i="2"/>
  <c r="H84" i="2" l="1"/>
  <c r="D84" i="2"/>
  <c r="D83" i="2"/>
  <c r="H83" i="2"/>
  <c r="H82" i="2"/>
  <c r="D82" i="2"/>
  <c r="H81" i="2"/>
  <c r="D81" i="2"/>
  <c r="D80" i="2"/>
  <c r="H80" i="2"/>
  <c r="D79" i="2"/>
  <c r="H79" i="2"/>
  <c r="D78" i="2"/>
  <c r="H78" i="2"/>
  <c r="D77" i="2"/>
  <c r="H77" i="2"/>
  <c r="D76" i="2"/>
  <c r="H76" i="2"/>
  <c r="H75" i="2"/>
  <c r="D75" i="2"/>
  <c r="D74" i="2"/>
  <c r="H74" i="2"/>
  <c r="H73" i="2"/>
  <c r="D73" i="2"/>
  <c r="H72" i="2"/>
  <c r="D72" i="2"/>
  <c r="H71" i="2"/>
  <c r="D71" i="2"/>
  <c r="D70" i="2"/>
  <c r="H70" i="2"/>
  <c r="H69" i="2"/>
  <c r="D69" i="2"/>
  <c r="D68" i="2"/>
  <c r="H68" i="2"/>
  <c r="H67" i="2"/>
  <c r="D67" i="2"/>
  <c r="D66" i="2"/>
  <c r="H66" i="2"/>
  <c r="H65" i="2"/>
  <c r="D65" i="2"/>
  <c r="D64" i="2"/>
  <c r="H64" i="2"/>
  <c r="D63" i="2"/>
  <c r="H63" i="2"/>
  <c r="H62" i="2"/>
  <c r="D62" i="2"/>
  <c r="D61" i="2"/>
  <c r="H61" i="2"/>
  <c r="D60" i="2"/>
  <c r="H60" i="2"/>
  <c r="D59" i="2"/>
  <c r="H59" i="2"/>
  <c r="D58" i="2"/>
  <c r="H58" i="2"/>
  <c r="H57" i="2"/>
  <c r="D57" i="2"/>
  <c r="D56" i="2"/>
  <c r="H56" i="2"/>
  <c r="H55" i="2"/>
  <c r="D55" i="2"/>
  <c r="H54" i="2"/>
  <c r="D54" i="2"/>
  <c r="D53" i="2"/>
  <c r="H53" i="2"/>
  <c r="H52" i="2"/>
  <c r="D52" i="2"/>
  <c r="H51" i="2"/>
  <c r="D51" i="2"/>
  <c r="H50" i="2"/>
  <c r="D50" i="2"/>
  <c r="H49" i="2"/>
  <c r="D49" i="2"/>
  <c r="H48" i="2"/>
  <c r="D48" i="2"/>
  <c r="H47" i="2"/>
  <c r="D47" i="2"/>
  <c r="D46" i="2"/>
  <c r="H46" i="2"/>
  <c r="H45" i="2"/>
  <c r="D45" i="2"/>
  <c r="H44" i="2"/>
  <c r="D44" i="2"/>
  <c r="D43" i="2"/>
  <c r="H43" i="2"/>
  <c r="D42" i="2"/>
  <c r="H42" i="2"/>
  <c r="D41" i="2"/>
  <c r="H41" i="2"/>
  <c r="D40" i="2"/>
  <c r="H40" i="2"/>
  <c r="H39" i="2"/>
  <c r="D39" i="2"/>
  <c r="H38" i="2"/>
  <c r="D38" i="2"/>
  <c r="H37" i="2"/>
  <c r="D37" i="2"/>
  <c r="D36" i="2"/>
  <c r="H36" i="2"/>
  <c r="D35" i="2"/>
  <c r="H35" i="2"/>
  <c r="D34" i="2"/>
  <c r="H34" i="2"/>
  <c r="D33" i="2"/>
  <c r="H33" i="2"/>
  <c r="D32" i="2"/>
  <c r="H32" i="2"/>
  <c r="D31" i="2"/>
  <c r="H31" i="2"/>
  <c r="H30" i="2"/>
  <c r="D30" i="2"/>
  <c r="H29" i="2"/>
  <c r="D29" i="2"/>
  <c r="H28" i="2"/>
  <c r="D28" i="2"/>
  <c r="D27" i="2"/>
  <c r="H27" i="2"/>
  <c r="D26" i="2"/>
  <c r="H26" i="2"/>
  <c r="H25" i="2"/>
  <c r="D25" i="2"/>
  <c r="D24" i="2"/>
  <c r="H24" i="2"/>
  <c r="D23" i="2"/>
  <c r="H23" i="2"/>
  <c r="H22" i="2"/>
  <c r="D22" i="2"/>
  <c r="D21" i="2"/>
  <c r="H21" i="2"/>
  <c r="D20" i="2"/>
  <c r="H20" i="2"/>
  <c r="H19" i="2"/>
  <c r="D19" i="2"/>
  <c r="D18" i="2"/>
  <c r="H18" i="2"/>
  <c r="H17" i="2"/>
  <c r="D17" i="2"/>
  <c r="H16" i="2"/>
  <c r="D16" i="2"/>
  <c r="D15" i="2"/>
  <c r="H15" i="2"/>
  <c r="D14" i="2"/>
  <c r="H14" i="2"/>
  <c r="D13" i="2"/>
  <c r="H13" i="2"/>
  <c r="D12" i="2"/>
  <c r="H12" i="2"/>
  <c r="D11" i="2"/>
  <c r="H11" i="2"/>
  <c r="H10" i="2"/>
  <c r="D10" i="2"/>
  <c r="D9" i="2"/>
  <c r="H9" i="2"/>
  <c r="H8" i="2"/>
  <c r="D8" i="2"/>
  <c r="D7" i="2"/>
  <c r="H7" i="2"/>
  <c r="H6" i="2"/>
  <c r="D6" i="2"/>
  <c r="H5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SolarSun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Preenchimento livre: quantidade de módulos do kit.</t>
        </r>
      </text>
    </comment>
    <comment ref="F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Preenchimento livre: potência do módulo em watts.</t>
        </r>
      </text>
    </comment>
    <comment ref="I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Preenchimento livre: índice R\$/kWp para calcular o preço.</t>
        </r>
      </text>
    </comment>
    <comment ref="L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Preenchimento livre: não há fórmula nesta coluna.</t>
        </r>
      </text>
    </comment>
  </commentList>
</comments>
</file>

<file path=xl/sharedStrings.xml><?xml version="1.0" encoding="utf-8"?>
<sst xmlns="http://schemas.openxmlformats.org/spreadsheetml/2006/main" count="248" uniqueCount="81">
  <si>
    <t>TABELA DE PREÇOS 4Bi — PADRÃO DE IMPORTAÇÃO</t>
  </si>
  <si>
    <t>Esta planilha é o modelo oficial para importar kits geradores fotovoltaicos no Relatório SolarSun.</t>
  </si>
  <si>
    <t>COMO USAR</t>
  </si>
  <si>
    <t>1. Preencha somente as colunas AMARELAS (sem fórmula). As colunas cinza são calculadas automaticamente.</t>
  </si>
  <si>
    <t>2. Não altere os nomes da aba "Tabela de Precos 4Bi" nem o cabeçalho da linha 4.</t>
  </si>
  <si>
    <t>3. Não apague as fórmulas das colunas cinza. Se precisar de mais linhas, copie a última linha com fórmulas.</t>
  </si>
  <si>
    <t>4. Salve o arquivo e importe pelo botão "Importar 4Bi" no relatório HTML.</t>
  </si>
  <si>
    <t>COLUNAS DE PREENCHIMENTO LIVRE (sem fórmula)</t>
  </si>
  <si>
    <t>Coluna</t>
  </si>
  <si>
    <t>Campo</t>
  </si>
  <si>
    <t>Descrição</t>
  </si>
  <si>
    <t>E</t>
  </si>
  <si>
    <t>Qtde Painéis</t>
  </si>
  <si>
    <t>Número inteiro de módulos do kit</t>
  </si>
  <si>
    <t>F</t>
  </si>
  <si>
    <t>Pot. Painéis (W)</t>
  </si>
  <si>
    <t>Potência unitária do módulo, em watts (ex.: 555)</t>
  </si>
  <si>
    <t>G</t>
  </si>
  <si>
    <t>Pot. Inversor</t>
  </si>
  <si>
    <t>Potência do inversor (texto livre, ex.: 5.000W)</t>
  </si>
  <si>
    <t>I</t>
  </si>
  <si>
    <t>Índice de Preço</t>
  </si>
  <si>
    <t>R\$ por kWp usado para calcular o preço do kit</t>
  </si>
  <si>
    <t>J</t>
  </si>
  <si>
    <t>Marca Inversor</t>
  </si>
  <si>
    <t>Fabricante / modelo (ex.: Deye, GoodWe, Solis)</t>
  </si>
  <si>
    <t>K</t>
  </si>
  <si>
    <t>Padrão / Fase</t>
  </si>
  <si>
    <t>Monofásico ou Trifásico</t>
  </si>
  <si>
    <t>L</t>
  </si>
  <si>
    <t>Valor c 10%</t>
  </si>
  <si>
    <t>Preço opcional com 10% (preenchimento livre, sem fórmula)</t>
  </si>
  <si>
    <t>O</t>
  </si>
  <si>
    <t>Observações</t>
  </si>
  <si>
    <t>Campo livre para a proposta</t>
  </si>
  <si>
    <t>COLUNAS CALCULADAS (não preencher)</t>
  </si>
  <si>
    <t>Fórmula</t>
  </si>
  <si>
    <t>B</t>
  </si>
  <si>
    <t>N</t>
  </si>
  <si>
    <t>Sequencial: 1, 2, 3...</t>
  </si>
  <si>
    <t>C</t>
  </si>
  <si>
    <t>Potência KWP</t>
  </si>
  <si>
    <t>Qtde Painéis × Pot. Painéis (W) / 1000</t>
  </si>
  <si>
    <t>D</t>
  </si>
  <si>
    <t>Média KWh/mês</t>
  </si>
  <si>
    <t>Potência KWP × 98</t>
  </si>
  <si>
    <t>H</t>
  </si>
  <si>
    <t>Preço (R\$)</t>
  </si>
  <si>
    <t>Índice de Preço × Potência KWP</t>
  </si>
  <si>
    <t>M</t>
  </si>
  <si>
    <t>Potência KWP2</t>
  </si>
  <si>
    <t>Mesma fórmula de Potência KWP (referência auxiliar)</t>
  </si>
  <si>
    <t>Média KWh/mês.</t>
  </si>
  <si>
    <t>Potência KWP2 × 100 × 0,98</t>
  </si>
  <si>
    <t>A aba começa vazia (sem kits). Inclua as linhas necessárias para o relatório do período (ex.: 4º bimestre).</t>
  </si>
  <si>
    <t>TABELA DE PREÇOS DE KITS GERADORES FOTOVOLTAICOS — 4Bi (padrão de importação SolarSun)</t>
  </si>
  <si>
    <t>Amarelo = preenchimento livre (sem fórmula). Cinza = calculado automaticamente. Não altere o cabeçalho.</t>
  </si>
  <si>
    <t>Preco (R$)</t>
  </si>
  <si>
    <t>2.000W</t>
  </si>
  <si>
    <t>3.000W</t>
  </si>
  <si>
    <t>5.000W</t>
  </si>
  <si>
    <t>8.000W</t>
  </si>
  <si>
    <t>7.000W</t>
  </si>
  <si>
    <t>12.000W</t>
  </si>
  <si>
    <t>15.000W</t>
  </si>
  <si>
    <t>17.000W</t>
  </si>
  <si>
    <t>25.000W</t>
  </si>
  <si>
    <t>30.000W</t>
  </si>
  <si>
    <t>40.000W</t>
  </si>
  <si>
    <t>50.000W</t>
  </si>
  <si>
    <t>60.000W</t>
  </si>
  <si>
    <t>75.000W</t>
  </si>
  <si>
    <t>100.000W</t>
  </si>
  <si>
    <t>110.000W</t>
  </si>
  <si>
    <t>Micro Inversor Hoymiles</t>
  </si>
  <si>
    <t>Monofásico</t>
  </si>
  <si>
    <t>Deye</t>
  </si>
  <si>
    <t>Growatt</t>
  </si>
  <si>
    <t>GoodWe</t>
  </si>
  <si>
    <t>Trifásico</t>
  </si>
  <si>
    <t>Inversor Solis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</si>
</sst>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0B1F3A"/>
      <name val="Calibri"/>
      <family val="2"/>
    </font>
    <font>
      <b/>
      <sz val="12"/>
      <color rgb="FFC47A00"/>
      <name val="Calibri"/>
      <family val="2"/>
    </font>
    <font>
      <b/>
      <sz val="14"/>
      <color rgb="FFFFFFFF"/>
      <name val="Calibri"/>
      <family val="2"/>
    </font>
    <font>
      <i/>
      <sz val="9"/>
      <color rgb="FF0B1F3A"/>
      <name val="Calibri"/>
      <family val="2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C47A00"/>
      </patternFill>
    </fill>
    <fill>
      <patternFill patternType="solid">
        <fgColor rgb="FFE9EEF5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164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164" fontId="0" fillId="5" borderId="1" xfId="0" applyNumberForma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32"/>
  <sheetViews>
    <sheetView workbookViewId="0"/>
  </sheetViews>
  <sheetFormatPr defaultRowHeight="14.4" x14ac:dyDescent="0.3"/>
  <cols>
    <col min="2" max="2" width="18" customWidth="1"/>
    <col min="3" max="3" width="22" customWidth="1"/>
    <col min="4" max="4" width="70" customWidth="1"/>
  </cols>
  <sheetData>
    <row r="2" spans="2:4" ht="21" x14ac:dyDescent="0.4">
      <c r="B2" s="1" t="s">
        <v>0</v>
      </c>
    </row>
    <row r="4" spans="2:4" x14ac:dyDescent="0.3">
      <c r="B4" t="s">
        <v>1</v>
      </c>
    </row>
    <row r="6" spans="2:4" ht="15.6" x14ac:dyDescent="0.3">
      <c r="B6" s="2" t="s">
        <v>2</v>
      </c>
    </row>
    <row r="7" spans="2:4" x14ac:dyDescent="0.3">
      <c r="B7" t="s">
        <v>3</v>
      </c>
    </row>
    <row r="8" spans="2:4" x14ac:dyDescent="0.3">
      <c r="B8" t="s">
        <v>4</v>
      </c>
    </row>
    <row r="9" spans="2:4" x14ac:dyDescent="0.3">
      <c r="B9" t="s">
        <v>5</v>
      </c>
    </row>
    <row r="10" spans="2:4" x14ac:dyDescent="0.3">
      <c r="B10" t="s">
        <v>6</v>
      </c>
    </row>
    <row r="12" spans="2:4" ht="15.6" x14ac:dyDescent="0.3">
      <c r="B12" s="2" t="s">
        <v>7</v>
      </c>
    </row>
    <row r="13" spans="2:4" x14ac:dyDescent="0.3">
      <c r="B13" t="s">
        <v>8</v>
      </c>
      <c r="C13" t="s">
        <v>9</v>
      </c>
      <c r="D13" t="s">
        <v>10</v>
      </c>
    </row>
    <row r="14" spans="2:4" x14ac:dyDescent="0.3">
      <c r="B14" t="s">
        <v>11</v>
      </c>
      <c r="C14" t="s">
        <v>12</v>
      </c>
      <c r="D14" t="s">
        <v>13</v>
      </c>
    </row>
    <row r="15" spans="2:4" x14ac:dyDescent="0.3">
      <c r="B15" t="s">
        <v>14</v>
      </c>
      <c r="C15" t="s">
        <v>15</v>
      </c>
      <c r="D15" t="s">
        <v>16</v>
      </c>
    </row>
    <row r="16" spans="2:4" x14ac:dyDescent="0.3">
      <c r="B16" t="s">
        <v>17</v>
      </c>
      <c r="C16" t="s">
        <v>18</v>
      </c>
      <c r="D16" t="s">
        <v>19</v>
      </c>
    </row>
    <row r="17" spans="2:4" x14ac:dyDescent="0.3">
      <c r="B17" t="s">
        <v>20</v>
      </c>
      <c r="C17" t="s">
        <v>21</v>
      </c>
      <c r="D17" t="s">
        <v>22</v>
      </c>
    </row>
    <row r="18" spans="2:4" x14ac:dyDescent="0.3">
      <c r="B18" t="s">
        <v>23</v>
      </c>
      <c r="C18" t="s">
        <v>24</v>
      </c>
      <c r="D18" t="s">
        <v>25</v>
      </c>
    </row>
    <row r="19" spans="2:4" x14ac:dyDescent="0.3">
      <c r="B19" t="s">
        <v>26</v>
      </c>
      <c r="C19" t="s">
        <v>27</v>
      </c>
      <c r="D19" t="s">
        <v>28</v>
      </c>
    </row>
    <row r="20" spans="2:4" x14ac:dyDescent="0.3">
      <c r="B20" t="s">
        <v>29</v>
      </c>
      <c r="C20" t="s">
        <v>30</v>
      </c>
      <c r="D20" t="s">
        <v>31</v>
      </c>
    </row>
    <row r="21" spans="2:4" x14ac:dyDescent="0.3">
      <c r="B21" t="s">
        <v>32</v>
      </c>
      <c r="C21" t="s">
        <v>33</v>
      </c>
      <c r="D21" t="s">
        <v>34</v>
      </c>
    </row>
    <row r="23" spans="2:4" ht="15.6" x14ac:dyDescent="0.3">
      <c r="B23" s="2" t="s">
        <v>35</v>
      </c>
    </row>
    <row r="24" spans="2:4" x14ac:dyDescent="0.3">
      <c r="B24" t="s">
        <v>8</v>
      </c>
      <c r="C24" t="s">
        <v>9</v>
      </c>
      <c r="D24" t="s">
        <v>36</v>
      </c>
    </row>
    <row r="25" spans="2:4" x14ac:dyDescent="0.3">
      <c r="B25" t="s">
        <v>37</v>
      </c>
      <c r="C25" t="s">
        <v>38</v>
      </c>
      <c r="D25" t="s">
        <v>39</v>
      </c>
    </row>
    <row r="26" spans="2:4" x14ac:dyDescent="0.3">
      <c r="B26" t="s">
        <v>40</v>
      </c>
      <c r="C26" t="s">
        <v>41</v>
      </c>
      <c r="D26" t="s">
        <v>42</v>
      </c>
    </row>
    <row r="27" spans="2:4" x14ac:dyDescent="0.3">
      <c r="B27" t="s">
        <v>43</v>
      </c>
      <c r="C27" t="s">
        <v>44</v>
      </c>
      <c r="D27" t="s">
        <v>45</v>
      </c>
    </row>
    <row r="28" spans="2:4" x14ac:dyDescent="0.3">
      <c r="B28" t="s">
        <v>46</v>
      </c>
      <c r="C28" t="s">
        <v>47</v>
      </c>
      <c r="D28" t="s">
        <v>48</v>
      </c>
    </row>
    <row r="29" spans="2:4" x14ac:dyDescent="0.3">
      <c r="B29" t="s">
        <v>49</v>
      </c>
      <c r="C29" t="s">
        <v>50</v>
      </c>
      <c r="D29" t="s">
        <v>51</v>
      </c>
    </row>
    <row r="30" spans="2:4" x14ac:dyDescent="0.3">
      <c r="B30" t="s">
        <v>38</v>
      </c>
      <c r="C30" t="s">
        <v>52</v>
      </c>
      <c r="D30" t="s">
        <v>53</v>
      </c>
    </row>
    <row r="32" spans="2:4" x14ac:dyDescent="0.3">
      <c r="B32" t="s">
        <v>54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O84"/>
  <sheetViews>
    <sheetView tabSelected="1" workbookViewId="0">
      <pane xSplit="1" ySplit="4" topLeftCell="E5" activePane="bottomRight" state="frozen"/>
      <selection pane="topRight"/>
      <selection pane="bottomLeft"/>
      <selection pane="bottomRight" activeCell="O5" sqref="O5"/>
    </sheetView>
  </sheetViews>
  <sheetFormatPr defaultRowHeight="14.4" x14ac:dyDescent="0.3"/>
  <cols>
    <col min="1" max="1" width="3" customWidth="1"/>
    <col min="2" max="2" width="8" customWidth="1"/>
    <col min="3" max="3" width="14" customWidth="1"/>
    <col min="4" max="4" width="16" customWidth="1"/>
    <col min="5" max="5" width="14" customWidth="1"/>
    <col min="6" max="6" width="18" customWidth="1"/>
    <col min="7" max="7" width="16" customWidth="1"/>
    <col min="8" max="8" width="14" customWidth="1"/>
    <col min="9" max="9" width="16" customWidth="1"/>
    <col min="10" max="10" width="22" customWidth="1"/>
    <col min="11" max="13" width="14" customWidth="1"/>
    <col min="14" max="14" width="16" customWidth="1"/>
    <col min="15" max="15" width="28" customWidth="1"/>
  </cols>
  <sheetData>
    <row r="2" spans="2:15" ht="28.05" customHeight="1" x14ac:dyDescent="0.3">
      <c r="B2" s="14" t="s">
        <v>55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15" x14ac:dyDescent="0.3">
      <c r="B3" s="12" t="s">
        <v>56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2:15" ht="31.95" customHeight="1" x14ac:dyDescent="0.3">
      <c r="B4" s="3" t="s">
        <v>38</v>
      </c>
      <c r="C4" s="3" t="s">
        <v>41</v>
      </c>
      <c r="D4" s="3" t="s">
        <v>44</v>
      </c>
      <c r="E4" s="3" t="s">
        <v>12</v>
      </c>
      <c r="F4" s="3" t="s">
        <v>15</v>
      </c>
      <c r="G4" s="3" t="s">
        <v>18</v>
      </c>
      <c r="H4" s="3" t="s">
        <v>57</v>
      </c>
      <c r="I4" s="3" t="s">
        <v>21</v>
      </c>
      <c r="J4" s="3" t="s">
        <v>24</v>
      </c>
      <c r="K4" s="3" t="s">
        <v>27</v>
      </c>
      <c r="L4" s="3" t="s">
        <v>30</v>
      </c>
      <c r="M4" s="3" t="s">
        <v>50</v>
      </c>
      <c r="N4" s="3" t="s">
        <v>52</v>
      </c>
      <c r="O4" s="3" t="s">
        <v>33</v>
      </c>
    </row>
    <row r="5" spans="2:15" ht="18" customHeight="1" x14ac:dyDescent="0.3">
      <c r="B5" s="4">
        <v>1</v>
      </c>
      <c r="C5" s="5">
        <f t="shared" ref="C5:C36" si="0">IF(OR(E5="",F5=""),"",E5*F5/1000)</f>
        <v>2.2200000000000002</v>
      </c>
      <c r="D5" s="6">
        <f t="shared" ref="D5:D36" si="1">IF(C5="","",C5*98)</f>
        <v>217.56000000000003</v>
      </c>
      <c r="E5" s="7">
        <v>4</v>
      </c>
      <c r="F5" s="7">
        <v>555</v>
      </c>
      <c r="G5" s="7" t="s">
        <v>58</v>
      </c>
      <c r="H5" s="8">
        <f t="shared" ref="H5:H36" si="2">IF(OR(C5="",I5=""),"",I5*C5)</f>
        <v>10989.000000000002</v>
      </c>
      <c r="I5" s="9">
        <v>4950</v>
      </c>
      <c r="J5" s="10" t="s">
        <v>74</v>
      </c>
      <c r="K5" s="7" t="s">
        <v>75</v>
      </c>
      <c r="L5" s="11">
        <v>9493.83</v>
      </c>
      <c r="M5" s="5">
        <f t="shared" ref="M5:M36" si="3">IF(OR(E5="",F5=""),"",E5*F5/1000)</f>
        <v>2.2200000000000002</v>
      </c>
      <c r="N5" s="6">
        <f t="shared" ref="N5:N36" si="4">IF(M5="","",M5*100*0.98)</f>
        <v>217.56000000000003</v>
      </c>
      <c r="O5" s="10"/>
    </row>
    <row r="6" spans="2:15" ht="18" customHeight="1" x14ac:dyDescent="0.3">
      <c r="B6" s="4">
        <f t="shared" ref="B6:B37" si="5">IF(E6="","",1+B5)</f>
        <v>2</v>
      </c>
      <c r="C6" s="5">
        <f t="shared" si="0"/>
        <v>2.7749999999999999</v>
      </c>
      <c r="D6" s="6">
        <f t="shared" si="1"/>
        <v>271.95</v>
      </c>
      <c r="E6" s="7">
        <v>5</v>
      </c>
      <c r="F6" s="7">
        <v>555</v>
      </c>
      <c r="G6" s="7" t="s">
        <v>59</v>
      </c>
      <c r="H6" s="8">
        <f t="shared" si="2"/>
        <v>13458.75</v>
      </c>
      <c r="I6" s="9">
        <v>4850</v>
      </c>
      <c r="J6" s="10" t="s">
        <v>76</v>
      </c>
      <c r="K6" s="7" t="s">
        <v>75</v>
      </c>
      <c r="L6" s="11">
        <v>11377.153780000001</v>
      </c>
      <c r="M6" s="5">
        <f t="shared" si="3"/>
        <v>2.7749999999999999</v>
      </c>
      <c r="N6" s="6">
        <f t="shared" si="4"/>
        <v>271.95</v>
      </c>
      <c r="O6" s="10"/>
    </row>
    <row r="7" spans="2:15" ht="18" customHeight="1" x14ac:dyDescent="0.3">
      <c r="B7" s="4">
        <f t="shared" si="5"/>
        <v>3</v>
      </c>
      <c r="C7" s="5">
        <f t="shared" si="0"/>
        <v>3.33</v>
      </c>
      <c r="D7" s="6">
        <f t="shared" si="1"/>
        <v>326.34000000000003</v>
      </c>
      <c r="E7" s="7">
        <v>6</v>
      </c>
      <c r="F7" s="7">
        <v>555</v>
      </c>
      <c r="G7" s="7" t="s">
        <v>60</v>
      </c>
      <c r="H7" s="8">
        <f t="shared" si="2"/>
        <v>15651</v>
      </c>
      <c r="I7" s="9">
        <v>4700</v>
      </c>
      <c r="J7" s="10" t="s">
        <v>76</v>
      </c>
      <c r="K7" s="7" t="s">
        <v>75</v>
      </c>
      <c r="L7" s="11">
        <v>12801.308720000001</v>
      </c>
      <c r="M7" s="5">
        <f t="shared" si="3"/>
        <v>3.33</v>
      </c>
      <c r="N7" s="6">
        <f t="shared" si="4"/>
        <v>326.33999999999997</v>
      </c>
      <c r="O7" s="10"/>
    </row>
    <row r="8" spans="2:15" ht="18" customHeight="1" x14ac:dyDescent="0.3">
      <c r="B8" s="4">
        <f t="shared" si="5"/>
        <v>4</v>
      </c>
      <c r="C8" s="5">
        <f t="shared" si="0"/>
        <v>3.8849999999999998</v>
      </c>
      <c r="D8" s="6">
        <f t="shared" si="1"/>
        <v>380.72999999999996</v>
      </c>
      <c r="E8" s="7">
        <v>7</v>
      </c>
      <c r="F8" s="7">
        <v>555</v>
      </c>
      <c r="G8" s="7" t="s">
        <v>60</v>
      </c>
      <c r="H8" s="8">
        <f t="shared" si="2"/>
        <v>17793.3</v>
      </c>
      <c r="I8" s="9">
        <v>4580</v>
      </c>
      <c r="J8" s="10" t="s">
        <v>76</v>
      </c>
      <c r="K8" s="7" t="s">
        <v>75</v>
      </c>
      <c r="L8" s="11">
        <v>14370.462099999999</v>
      </c>
      <c r="M8" s="5">
        <f t="shared" si="3"/>
        <v>3.8849999999999998</v>
      </c>
      <c r="N8" s="6">
        <f t="shared" si="4"/>
        <v>380.73</v>
      </c>
      <c r="O8" s="10"/>
    </row>
    <row r="9" spans="2:15" ht="18" customHeight="1" x14ac:dyDescent="0.3">
      <c r="B9" s="4">
        <f t="shared" si="5"/>
        <v>5</v>
      </c>
      <c r="C9" s="5">
        <f t="shared" si="0"/>
        <v>4.4400000000000004</v>
      </c>
      <c r="D9" s="6">
        <f t="shared" si="1"/>
        <v>435.12000000000006</v>
      </c>
      <c r="E9" s="7">
        <v>8</v>
      </c>
      <c r="F9" s="7">
        <v>555</v>
      </c>
      <c r="G9" s="7" t="s">
        <v>60</v>
      </c>
      <c r="H9" s="8">
        <f t="shared" si="2"/>
        <v>19536</v>
      </c>
      <c r="I9" s="9">
        <v>4400</v>
      </c>
      <c r="J9" s="10" t="s">
        <v>76</v>
      </c>
      <c r="K9" s="7" t="s">
        <v>75</v>
      </c>
      <c r="L9" s="11">
        <v>16499.730800000001</v>
      </c>
      <c r="M9" s="5">
        <f t="shared" si="3"/>
        <v>4.4400000000000004</v>
      </c>
      <c r="N9" s="6">
        <f t="shared" si="4"/>
        <v>435.12000000000006</v>
      </c>
      <c r="O9" s="10"/>
    </row>
    <row r="10" spans="2:15" ht="18" customHeight="1" x14ac:dyDescent="0.3">
      <c r="B10" s="4">
        <f t="shared" si="5"/>
        <v>6</v>
      </c>
      <c r="C10" s="5">
        <f t="shared" si="0"/>
        <v>4.9950000000000001</v>
      </c>
      <c r="D10" s="6">
        <f t="shared" si="1"/>
        <v>489.51</v>
      </c>
      <c r="E10" s="7">
        <v>9</v>
      </c>
      <c r="F10" s="7">
        <v>555</v>
      </c>
      <c r="G10" s="7" t="s">
        <v>60</v>
      </c>
      <c r="H10" s="8">
        <f t="shared" si="2"/>
        <v>21478.5</v>
      </c>
      <c r="I10" s="9">
        <v>4300</v>
      </c>
      <c r="J10" s="10" t="s">
        <v>76</v>
      </c>
      <c r="K10" s="7" t="s">
        <v>75</v>
      </c>
      <c r="L10" s="11">
        <v>17723.99872</v>
      </c>
      <c r="M10" s="5">
        <f t="shared" si="3"/>
        <v>4.9950000000000001</v>
      </c>
      <c r="N10" s="6">
        <f t="shared" si="4"/>
        <v>489.51</v>
      </c>
      <c r="O10" s="10"/>
    </row>
    <row r="11" spans="2:15" ht="18" customHeight="1" x14ac:dyDescent="0.3">
      <c r="B11" s="4">
        <f t="shared" si="5"/>
        <v>7</v>
      </c>
      <c r="C11" s="5">
        <f t="shared" si="0"/>
        <v>5.55</v>
      </c>
      <c r="D11" s="6">
        <f t="shared" si="1"/>
        <v>543.9</v>
      </c>
      <c r="E11" s="7">
        <v>10</v>
      </c>
      <c r="F11" s="7">
        <v>555</v>
      </c>
      <c r="G11" s="7" t="s">
        <v>60</v>
      </c>
      <c r="H11" s="8">
        <f t="shared" si="2"/>
        <v>23754</v>
      </c>
      <c r="I11" s="9">
        <v>4280</v>
      </c>
      <c r="J11" s="10" t="s">
        <v>76</v>
      </c>
      <c r="K11" s="7" t="s">
        <v>75</v>
      </c>
      <c r="L11" s="11">
        <v>19143.00028</v>
      </c>
      <c r="M11" s="5">
        <f t="shared" si="3"/>
        <v>5.55</v>
      </c>
      <c r="N11" s="6">
        <f t="shared" si="4"/>
        <v>543.9</v>
      </c>
      <c r="O11" s="10"/>
    </row>
    <row r="12" spans="2:15" ht="18" customHeight="1" x14ac:dyDescent="0.3">
      <c r="B12" s="4">
        <f t="shared" si="5"/>
        <v>8</v>
      </c>
      <c r="C12" s="5">
        <f t="shared" si="0"/>
        <v>6.1050000000000004</v>
      </c>
      <c r="D12" s="6">
        <f t="shared" si="1"/>
        <v>598.29000000000008</v>
      </c>
      <c r="E12" s="7">
        <v>11</v>
      </c>
      <c r="F12" s="7">
        <v>555</v>
      </c>
      <c r="G12" s="7" t="s">
        <v>60</v>
      </c>
      <c r="H12" s="8">
        <f t="shared" si="2"/>
        <v>25641</v>
      </c>
      <c r="I12" s="9">
        <v>4200</v>
      </c>
      <c r="J12" s="10" t="s">
        <v>76</v>
      </c>
      <c r="K12" s="7" t="s">
        <v>75</v>
      </c>
      <c r="L12" s="11">
        <v>20790.791580000001</v>
      </c>
      <c r="M12" s="5">
        <f t="shared" si="3"/>
        <v>6.1050000000000004</v>
      </c>
      <c r="N12" s="6">
        <f t="shared" si="4"/>
        <v>598.29</v>
      </c>
      <c r="O12" s="10"/>
    </row>
    <row r="13" spans="2:15" ht="18" customHeight="1" x14ac:dyDescent="0.3">
      <c r="B13" s="4">
        <f t="shared" si="5"/>
        <v>9</v>
      </c>
      <c r="C13" s="5">
        <f t="shared" si="0"/>
        <v>6.66</v>
      </c>
      <c r="D13" s="6">
        <f t="shared" si="1"/>
        <v>652.68000000000006</v>
      </c>
      <c r="E13" s="7">
        <v>12</v>
      </c>
      <c r="F13" s="7">
        <v>555</v>
      </c>
      <c r="G13" s="7" t="s">
        <v>60</v>
      </c>
      <c r="H13" s="8">
        <f t="shared" si="2"/>
        <v>27306</v>
      </c>
      <c r="I13" s="9">
        <v>4100</v>
      </c>
      <c r="J13" s="10" t="s">
        <v>76</v>
      </c>
      <c r="K13" s="7" t="s">
        <v>75</v>
      </c>
      <c r="L13" s="11">
        <v>22260.435459999997</v>
      </c>
      <c r="M13" s="5">
        <f t="shared" si="3"/>
        <v>6.66</v>
      </c>
      <c r="N13" s="6">
        <f t="shared" si="4"/>
        <v>652.67999999999995</v>
      </c>
      <c r="O13" s="10"/>
    </row>
    <row r="14" spans="2:15" ht="18" customHeight="1" x14ac:dyDescent="0.3">
      <c r="B14" s="4">
        <f t="shared" si="5"/>
        <v>10</v>
      </c>
      <c r="C14" s="5">
        <f t="shared" si="0"/>
        <v>7.2149999999999999</v>
      </c>
      <c r="D14" s="6">
        <f t="shared" si="1"/>
        <v>707.06999999999994</v>
      </c>
      <c r="E14" s="7">
        <v>13</v>
      </c>
      <c r="F14" s="7">
        <v>555</v>
      </c>
      <c r="G14" s="7" t="s">
        <v>61</v>
      </c>
      <c r="H14" s="8">
        <f t="shared" si="2"/>
        <v>28860</v>
      </c>
      <c r="I14" s="9">
        <v>4000</v>
      </c>
      <c r="J14" s="10" t="s">
        <v>76</v>
      </c>
      <c r="K14" s="7" t="s">
        <v>75</v>
      </c>
      <c r="L14" s="11">
        <v>23564.670699999999</v>
      </c>
      <c r="M14" s="5">
        <f t="shared" si="3"/>
        <v>7.2149999999999999</v>
      </c>
      <c r="N14" s="6">
        <f t="shared" si="4"/>
        <v>707.06999999999994</v>
      </c>
      <c r="O14" s="10"/>
    </row>
    <row r="15" spans="2:15" ht="18" customHeight="1" x14ac:dyDescent="0.3">
      <c r="B15" s="4">
        <f t="shared" si="5"/>
        <v>11</v>
      </c>
      <c r="C15" s="5">
        <f t="shared" si="0"/>
        <v>7.77</v>
      </c>
      <c r="D15" s="6">
        <f t="shared" si="1"/>
        <v>761.45999999999992</v>
      </c>
      <c r="E15" s="7">
        <v>14</v>
      </c>
      <c r="F15" s="7">
        <v>555</v>
      </c>
      <c r="G15" s="7" t="s">
        <v>61</v>
      </c>
      <c r="H15" s="8">
        <f t="shared" si="2"/>
        <v>30303</v>
      </c>
      <c r="I15" s="9">
        <v>3900</v>
      </c>
      <c r="J15" s="10" t="s">
        <v>76</v>
      </c>
      <c r="K15" s="7" t="s">
        <v>75</v>
      </c>
      <c r="L15" s="11">
        <v>24155.98</v>
      </c>
      <c r="M15" s="5">
        <f t="shared" si="3"/>
        <v>7.77</v>
      </c>
      <c r="N15" s="6">
        <f t="shared" si="4"/>
        <v>761.46</v>
      </c>
      <c r="O15" s="10"/>
    </row>
    <row r="16" spans="2:15" ht="18" customHeight="1" x14ac:dyDescent="0.3">
      <c r="B16" s="4">
        <f t="shared" si="5"/>
        <v>12</v>
      </c>
      <c r="C16" s="5">
        <f t="shared" si="0"/>
        <v>8.3249999999999993</v>
      </c>
      <c r="D16" s="6">
        <f t="shared" si="1"/>
        <v>815.84999999999991</v>
      </c>
      <c r="E16" s="7">
        <v>15</v>
      </c>
      <c r="F16" s="7">
        <v>555</v>
      </c>
      <c r="G16" s="7" t="s">
        <v>61</v>
      </c>
      <c r="H16" s="8">
        <f t="shared" si="2"/>
        <v>32134.499999999996</v>
      </c>
      <c r="I16" s="9">
        <v>3860</v>
      </c>
      <c r="J16" s="10" t="s">
        <v>76</v>
      </c>
      <c r="K16" s="7" t="s">
        <v>75</v>
      </c>
      <c r="L16" s="11">
        <v>25722.482399999997</v>
      </c>
      <c r="M16" s="5">
        <f t="shared" si="3"/>
        <v>8.3249999999999993</v>
      </c>
      <c r="N16" s="6">
        <f t="shared" si="4"/>
        <v>815.84999999999991</v>
      </c>
      <c r="O16" s="10"/>
    </row>
    <row r="17" spans="2:15" ht="18" customHeight="1" x14ac:dyDescent="0.3">
      <c r="B17" s="4">
        <f t="shared" si="5"/>
        <v>13</v>
      </c>
      <c r="C17" s="5">
        <f t="shared" si="0"/>
        <v>8.8800000000000008</v>
      </c>
      <c r="D17" s="6">
        <f t="shared" si="1"/>
        <v>870.24000000000012</v>
      </c>
      <c r="E17" s="7">
        <v>16</v>
      </c>
      <c r="F17" s="7">
        <v>555</v>
      </c>
      <c r="G17" s="7" t="s">
        <v>61</v>
      </c>
      <c r="H17" s="8">
        <f t="shared" si="2"/>
        <v>34365.600000000006</v>
      </c>
      <c r="I17" s="9">
        <v>3870</v>
      </c>
      <c r="J17" s="10" t="s">
        <v>76</v>
      </c>
      <c r="K17" s="7" t="s">
        <v>75</v>
      </c>
      <c r="L17" s="11">
        <v>27801.273000000001</v>
      </c>
      <c r="M17" s="5">
        <f t="shared" si="3"/>
        <v>8.8800000000000008</v>
      </c>
      <c r="N17" s="6">
        <f t="shared" si="4"/>
        <v>870.24000000000012</v>
      </c>
      <c r="O17" s="10"/>
    </row>
    <row r="18" spans="2:15" ht="18" customHeight="1" x14ac:dyDescent="0.3">
      <c r="B18" s="4">
        <f t="shared" si="5"/>
        <v>14</v>
      </c>
      <c r="C18" s="5">
        <f t="shared" si="0"/>
        <v>9.4350000000000005</v>
      </c>
      <c r="D18" s="6">
        <f t="shared" si="1"/>
        <v>924.63</v>
      </c>
      <c r="E18" s="7">
        <v>17</v>
      </c>
      <c r="F18" s="7">
        <v>555</v>
      </c>
      <c r="G18" s="7" t="s">
        <v>61</v>
      </c>
      <c r="H18" s="8">
        <f t="shared" si="2"/>
        <v>36419.1</v>
      </c>
      <c r="I18" s="9">
        <v>3860</v>
      </c>
      <c r="J18" s="10" t="s">
        <v>76</v>
      </c>
      <c r="K18" s="7" t="s">
        <v>75</v>
      </c>
      <c r="L18" s="11">
        <v>30045.77722</v>
      </c>
      <c r="M18" s="5">
        <f t="shared" si="3"/>
        <v>9.4350000000000005</v>
      </c>
      <c r="N18" s="6">
        <f t="shared" si="4"/>
        <v>924.63</v>
      </c>
      <c r="O18" s="10"/>
    </row>
    <row r="19" spans="2:15" ht="18" customHeight="1" x14ac:dyDescent="0.3">
      <c r="B19" s="4">
        <f t="shared" si="5"/>
        <v>15</v>
      </c>
      <c r="C19" s="5">
        <f t="shared" si="0"/>
        <v>9.99</v>
      </c>
      <c r="D19" s="6">
        <f t="shared" si="1"/>
        <v>979.02</v>
      </c>
      <c r="E19" s="7">
        <v>18</v>
      </c>
      <c r="F19" s="7">
        <v>555</v>
      </c>
      <c r="G19" s="7" t="s">
        <v>61</v>
      </c>
      <c r="H19" s="8">
        <f t="shared" si="2"/>
        <v>37762.200000000004</v>
      </c>
      <c r="I19" s="9">
        <v>3780</v>
      </c>
      <c r="J19" s="10" t="s">
        <v>76</v>
      </c>
      <c r="K19" s="7" t="s">
        <v>75</v>
      </c>
      <c r="L19" s="11">
        <v>31965.907840000003</v>
      </c>
      <c r="M19" s="5">
        <f t="shared" si="3"/>
        <v>9.99</v>
      </c>
      <c r="N19" s="6">
        <f t="shared" si="4"/>
        <v>979.02</v>
      </c>
      <c r="O19" s="10"/>
    </row>
    <row r="20" spans="2:15" ht="18" customHeight="1" x14ac:dyDescent="0.3">
      <c r="B20" s="4">
        <f t="shared" si="5"/>
        <v>16</v>
      </c>
      <c r="C20" s="5">
        <f t="shared" si="0"/>
        <v>10.545</v>
      </c>
      <c r="D20" s="6">
        <f t="shared" si="1"/>
        <v>1033.4100000000001</v>
      </c>
      <c r="E20" s="7">
        <v>19</v>
      </c>
      <c r="F20" s="7">
        <v>555</v>
      </c>
      <c r="G20" s="7" t="s">
        <v>62</v>
      </c>
      <c r="H20" s="8">
        <f t="shared" si="2"/>
        <v>39332.85</v>
      </c>
      <c r="I20" s="9">
        <v>3730</v>
      </c>
      <c r="J20" s="10" t="s">
        <v>77</v>
      </c>
      <c r="K20" s="7" t="s">
        <v>75</v>
      </c>
      <c r="L20" s="11">
        <v>33206.683779999999</v>
      </c>
      <c r="M20" s="5">
        <f t="shared" si="3"/>
        <v>10.545</v>
      </c>
      <c r="N20" s="6">
        <f t="shared" si="4"/>
        <v>1033.4100000000001</v>
      </c>
      <c r="O20" s="10"/>
    </row>
    <row r="21" spans="2:15" ht="18" customHeight="1" x14ac:dyDescent="0.3">
      <c r="B21" s="4">
        <f t="shared" si="5"/>
        <v>17</v>
      </c>
      <c r="C21" s="5">
        <f t="shared" si="0"/>
        <v>11.1</v>
      </c>
      <c r="D21" s="6">
        <f t="shared" si="1"/>
        <v>1087.8</v>
      </c>
      <c r="E21" s="7">
        <v>20</v>
      </c>
      <c r="F21" s="7">
        <v>555</v>
      </c>
      <c r="G21" s="7" t="s">
        <v>62</v>
      </c>
      <c r="H21" s="8">
        <f t="shared" si="2"/>
        <v>40681.5</v>
      </c>
      <c r="I21" s="9">
        <v>3665</v>
      </c>
      <c r="J21" s="10" t="s">
        <v>77</v>
      </c>
      <c r="K21" s="7" t="s">
        <v>75</v>
      </c>
      <c r="L21" s="11">
        <v>35016.536760000003</v>
      </c>
      <c r="M21" s="5">
        <f t="shared" si="3"/>
        <v>11.1</v>
      </c>
      <c r="N21" s="6">
        <f t="shared" si="4"/>
        <v>1087.8</v>
      </c>
      <c r="O21" s="10"/>
    </row>
    <row r="22" spans="2:15" ht="18" customHeight="1" x14ac:dyDescent="0.3">
      <c r="B22" s="4">
        <f t="shared" si="5"/>
        <v>18</v>
      </c>
      <c r="C22" s="5">
        <f t="shared" si="0"/>
        <v>11.654999999999999</v>
      </c>
      <c r="D22" s="6">
        <f t="shared" si="1"/>
        <v>1142.1899999999998</v>
      </c>
      <c r="E22" s="7">
        <v>21</v>
      </c>
      <c r="F22" s="7">
        <v>555</v>
      </c>
      <c r="G22" s="7" t="s">
        <v>62</v>
      </c>
      <c r="H22" s="8">
        <f t="shared" si="2"/>
        <v>42132.824999999997</v>
      </c>
      <c r="I22" s="9">
        <v>3615</v>
      </c>
      <c r="J22" s="10" t="s">
        <v>78</v>
      </c>
      <c r="K22" s="7" t="s">
        <v>75</v>
      </c>
      <c r="L22" s="11">
        <v>36896.253620000003</v>
      </c>
      <c r="M22" s="5">
        <f t="shared" si="3"/>
        <v>11.654999999999999</v>
      </c>
      <c r="N22" s="6">
        <f t="shared" si="4"/>
        <v>1142.19</v>
      </c>
      <c r="O22" s="10"/>
    </row>
    <row r="23" spans="2:15" ht="18" customHeight="1" x14ac:dyDescent="0.3">
      <c r="B23" s="4">
        <f t="shared" si="5"/>
        <v>19</v>
      </c>
      <c r="C23" s="5">
        <f t="shared" si="0"/>
        <v>12.21</v>
      </c>
      <c r="D23" s="6">
        <f t="shared" si="1"/>
        <v>1196.5800000000002</v>
      </c>
      <c r="E23" s="7">
        <v>22</v>
      </c>
      <c r="F23" s="7">
        <v>555</v>
      </c>
      <c r="G23" s="7" t="s">
        <v>62</v>
      </c>
      <c r="H23" s="8">
        <f t="shared" si="2"/>
        <v>43345.5</v>
      </c>
      <c r="I23" s="9">
        <v>3550</v>
      </c>
      <c r="J23" s="10" t="s">
        <v>78</v>
      </c>
      <c r="K23" s="7" t="s">
        <v>75</v>
      </c>
      <c r="L23" s="11">
        <v>41281.701800000003</v>
      </c>
      <c r="M23" s="5">
        <f t="shared" si="3"/>
        <v>12.21</v>
      </c>
      <c r="N23" s="6">
        <f t="shared" si="4"/>
        <v>1196.58</v>
      </c>
      <c r="O23" s="10"/>
    </row>
    <row r="24" spans="2:15" ht="18" customHeight="1" x14ac:dyDescent="0.3">
      <c r="B24" s="4">
        <f t="shared" si="5"/>
        <v>20</v>
      </c>
      <c r="C24" s="5">
        <f t="shared" si="0"/>
        <v>12.765000000000001</v>
      </c>
      <c r="D24" s="6">
        <f t="shared" si="1"/>
        <v>1250.97</v>
      </c>
      <c r="E24" s="7">
        <v>23</v>
      </c>
      <c r="F24" s="7">
        <v>555</v>
      </c>
      <c r="G24" s="7" t="s">
        <v>62</v>
      </c>
      <c r="H24" s="8">
        <f t="shared" si="2"/>
        <v>45060.450000000004</v>
      </c>
      <c r="I24" s="9">
        <v>3530</v>
      </c>
      <c r="J24" s="10" t="s">
        <v>78</v>
      </c>
      <c r="K24" s="7" t="s">
        <v>75</v>
      </c>
      <c r="L24" s="11">
        <v>42628.039920000003</v>
      </c>
      <c r="M24" s="5">
        <f t="shared" si="3"/>
        <v>12.765000000000001</v>
      </c>
      <c r="N24" s="6">
        <f t="shared" si="4"/>
        <v>1250.97</v>
      </c>
      <c r="O24" s="10"/>
    </row>
    <row r="25" spans="2:15" ht="18" customHeight="1" x14ac:dyDescent="0.3">
      <c r="B25" s="4">
        <f t="shared" si="5"/>
        <v>21</v>
      </c>
      <c r="C25" s="5">
        <f t="shared" si="0"/>
        <v>13.32</v>
      </c>
      <c r="D25" s="6">
        <f t="shared" si="1"/>
        <v>1305.3600000000001</v>
      </c>
      <c r="E25" s="7">
        <v>24</v>
      </c>
      <c r="F25" s="7">
        <v>555</v>
      </c>
      <c r="G25" s="7" t="s">
        <v>62</v>
      </c>
      <c r="H25" s="8">
        <f t="shared" si="2"/>
        <v>49550.400000000001</v>
      </c>
      <c r="I25" s="9">
        <v>3720</v>
      </c>
      <c r="J25" s="10" t="s">
        <v>78</v>
      </c>
      <c r="K25" s="7" t="s">
        <v>75</v>
      </c>
      <c r="L25" s="11">
        <v>45752.082999999999</v>
      </c>
      <c r="M25" s="5">
        <f t="shared" si="3"/>
        <v>13.32</v>
      </c>
      <c r="N25" s="6">
        <f t="shared" si="4"/>
        <v>1305.3599999999999</v>
      </c>
      <c r="O25" s="10"/>
    </row>
    <row r="26" spans="2:15" ht="18" customHeight="1" x14ac:dyDescent="0.3">
      <c r="B26" s="4">
        <f t="shared" si="5"/>
        <v>22</v>
      </c>
      <c r="C26" s="5">
        <f t="shared" si="0"/>
        <v>14.43</v>
      </c>
      <c r="D26" s="6">
        <f t="shared" si="1"/>
        <v>1414.1399999999999</v>
      </c>
      <c r="E26" s="7">
        <v>26</v>
      </c>
      <c r="F26" s="7">
        <v>555</v>
      </c>
      <c r="G26" s="7" t="s">
        <v>63</v>
      </c>
      <c r="H26" s="8">
        <f t="shared" si="2"/>
        <v>53535.299999999996</v>
      </c>
      <c r="I26" s="9">
        <v>3710</v>
      </c>
      <c r="J26" s="10" t="s">
        <v>76</v>
      </c>
      <c r="K26" s="7" t="s">
        <v>75</v>
      </c>
      <c r="L26" s="11">
        <v>46914.267939999998</v>
      </c>
      <c r="M26" s="5">
        <f t="shared" si="3"/>
        <v>14.43</v>
      </c>
      <c r="N26" s="6">
        <f t="shared" si="4"/>
        <v>1414.1399999999999</v>
      </c>
      <c r="O26" s="10"/>
    </row>
    <row r="27" spans="2:15" ht="18" customHeight="1" x14ac:dyDescent="0.3">
      <c r="B27" s="4">
        <f t="shared" si="5"/>
        <v>23</v>
      </c>
      <c r="C27" s="5">
        <f t="shared" si="0"/>
        <v>15.54</v>
      </c>
      <c r="D27" s="6">
        <f t="shared" si="1"/>
        <v>1522.9199999999998</v>
      </c>
      <c r="E27" s="7">
        <v>28</v>
      </c>
      <c r="F27" s="7">
        <v>555</v>
      </c>
      <c r="G27" s="7" t="s">
        <v>64</v>
      </c>
      <c r="H27" s="8">
        <f t="shared" si="2"/>
        <v>57342.6</v>
      </c>
      <c r="I27" s="9">
        <v>3690</v>
      </c>
      <c r="J27" s="10" t="s">
        <v>76</v>
      </c>
      <c r="K27" s="7" t="s">
        <v>79</v>
      </c>
      <c r="L27" s="11">
        <v>50603.12616</v>
      </c>
      <c r="M27" s="5">
        <f t="shared" si="3"/>
        <v>15.54</v>
      </c>
      <c r="N27" s="6">
        <f t="shared" si="4"/>
        <v>1522.92</v>
      </c>
      <c r="O27" s="10"/>
    </row>
    <row r="28" spans="2:15" ht="18" customHeight="1" x14ac:dyDescent="0.3">
      <c r="B28" s="4">
        <f t="shared" si="5"/>
        <v>24</v>
      </c>
      <c r="C28" s="5">
        <f t="shared" si="0"/>
        <v>16.649999999999999</v>
      </c>
      <c r="D28" s="6">
        <f t="shared" si="1"/>
        <v>1631.6999999999998</v>
      </c>
      <c r="E28" s="7">
        <v>30</v>
      </c>
      <c r="F28" s="7">
        <v>555</v>
      </c>
      <c r="G28" s="7" t="s">
        <v>64</v>
      </c>
      <c r="H28" s="8">
        <f t="shared" si="2"/>
        <v>61271.999999999993</v>
      </c>
      <c r="I28" s="9">
        <v>3680</v>
      </c>
      <c r="J28" s="10" t="s">
        <v>76</v>
      </c>
      <c r="K28" s="7" t="s">
        <v>79</v>
      </c>
      <c r="L28" s="11">
        <v>52838.957999999999</v>
      </c>
      <c r="M28" s="5">
        <f t="shared" si="3"/>
        <v>16.649999999999999</v>
      </c>
      <c r="N28" s="6">
        <f t="shared" si="4"/>
        <v>1631.6999999999998</v>
      </c>
      <c r="O28" s="10"/>
    </row>
    <row r="29" spans="2:15" ht="18" customHeight="1" x14ac:dyDescent="0.3">
      <c r="B29" s="4">
        <f t="shared" si="5"/>
        <v>25</v>
      </c>
      <c r="C29" s="5">
        <f t="shared" si="0"/>
        <v>16.649999999999999</v>
      </c>
      <c r="D29" s="6">
        <f t="shared" si="1"/>
        <v>1631.6999999999998</v>
      </c>
      <c r="E29" s="7">
        <v>30</v>
      </c>
      <c r="F29" s="7">
        <v>555</v>
      </c>
      <c r="G29" s="7" t="s">
        <v>64</v>
      </c>
      <c r="H29" s="8">
        <f t="shared" si="2"/>
        <v>59939.999999999993</v>
      </c>
      <c r="I29" s="9">
        <v>3600</v>
      </c>
      <c r="J29" s="10" t="s">
        <v>78</v>
      </c>
      <c r="K29" s="7" t="s">
        <v>79</v>
      </c>
      <c r="L29" s="11">
        <v>57075.500086</v>
      </c>
      <c r="M29" s="5">
        <f t="shared" si="3"/>
        <v>16.649999999999999</v>
      </c>
      <c r="N29" s="6">
        <f t="shared" si="4"/>
        <v>1631.6999999999998</v>
      </c>
      <c r="O29" s="10"/>
    </row>
    <row r="30" spans="2:15" ht="18" customHeight="1" x14ac:dyDescent="0.3">
      <c r="B30" s="4">
        <f t="shared" si="5"/>
        <v>26</v>
      </c>
      <c r="C30" s="5">
        <f t="shared" si="0"/>
        <v>17.760000000000002</v>
      </c>
      <c r="D30" s="6">
        <f t="shared" si="1"/>
        <v>1740.4800000000002</v>
      </c>
      <c r="E30" s="7">
        <v>32</v>
      </c>
      <c r="F30" s="7">
        <v>555</v>
      </c>
      <c r="G30" s="7" t="s">
        <v>64</v>
      </c>
      <c r="H30" s="8">
        <f t="shared" si="2"/>
        <v>65001.600000000006</v>
      </c>
      <c r="I30" s="9">
        <v>3660</v>
      </c>
      <c r="J30" s="10" t="s">
        <v>78</v>
      </c>
      <c r="K30" s="7" t="s">
        <v>79</v>
      </c>
      <c r="L30" s="11">
        <v>60908.103982000001</v>
      </c>
      <c r="M30" s="5">
        <f t="shared" si="3"/>
        <v>17.760000000000002</v>
      </c>
      <c r="N30" s="6">
        <f t="shared" si="4"/>
        <v>1740.4800000000002</v>
      </c>
      <c r="O30" s="10"/>
    </row>
    <row r="31" spans="2:15" ht="18" customHeight="1" x14ac:dyDescent="0.3">
      <c r="B31" s="4">
        <f t="shared" si="5"/>
        <v>27</v>
      </c>
      <c r="C31" s="5">
        <f t="shared" si="0"/>
        <v>18.87</v>
      </c>
      <c r="D31" s="6">
        <f t="shared" si="1"/>
        <v>1849.26</v>
      </c>
      <c r="E31" s="7">
        <v>34</v>
      </c>
      <c r="F31" s="7">
        <v>555</v>
      </c>
      <c r="G31" s="7" t="s">
        <v>64</v>
      </c>
      <c r="H31" s="8">
        <f t="shared" si="2"/>
        <v>68875.5</v>
      </c>
      <c r="I31" s="9">
        <v>3650</v>
      </c>
      <c r="J31" s="10" t="s">
        <v>78</v>
      </c>
      <c r="K31" s="7" t="s">
        <v>79</v>
      </c>
      <c r="L31" s="11">
        <v>64177.534938000012</v>
      </c>
      <c r="M31" s="5">
        <f t="shared" si="3"/>
        <v>18.87</v>
      </c>
      <c r="N31" s="6">
        <f t="shared" si="4"/>
        <v>1849.26</v>
      </c>
      <c r="O31" s="10"/>
    </row>
    <row r="32" spans="2:15" ht="18" customHeight="1" x14ac:dyDescent="0.3">
      <c r="B32" s="4">
        <f t="shared" si="5"/>
        <v>28</v>
      </c>
      <c r="C32" s="5">
        <f t="shared" si="0"/>
        <v>19.98</v>
      </c>
      <c r="D32" s="6">
        <f t="shared" si="1"/>
        <v>1958.04</v>
      </c>
      <c r="E32" s="7">
        <v>36</v>
      </c>
      <c r="F32" s="7">
        <v>555</v>
      </c>
      <c r="G32" s="7" t="s">
        <v>64</v>
      </c>
      <c r="H32" s="8">
        <f t="shared" si="2"/>
        <v>71928</v>
      </c>
      <c r="I32" s="9">
        <v>3600</v>
      </c>
      <c r="J32" s="10" t="s">
        <v>78</v>
      </c>
      <c r="K32" s="7" t="s">
        <v>79</v>
      </c>
      <c r="L32" s="11">
        <v>67000.367257999998</v>
      </c>
      <c r="M32" s="5">
        <f t="shared" si="3"/>
        <v>19.98</v>
      </c>
      <c r="N32" s="6">
        <f t="shared" si="4"/>
        <v>1958.04</v>
      </c>
      <c r="O32" s="10"/>
    </row>
    <row r="33" spans="2:15" ht="18" customHeight="1" x14ac:dyDescent="0.3">
      <c r="B33" s="4">
        <f t="shared" si="5"/>
        <v>29</v>
      </c>
      <c r="C33" s="5">
        <f t="shared" si="0"/>
        <v>21.09</v>
      </c>
      <c r="D33" s="6">
        <f t="shared" si="1"/>
        <v>2066.8200000000002</v>
      </c>
      <c r="E33" s="7">
        <v>38</v>
      </c>
      <c r="F33" s="7">
        <v>555</v>
      </c>
      <c r="G33" s="7" t="s">
        <v>65</v>
      </c>
      <c r="H33" s="8">
        <f t="shared" si="2"/>
        <v>74447.7</v>
      </c>
      <c r="I33" s="9">
        <v>3530</v>
      </c>
      <c r="J33" s="10" t="s">
        <v>78</v>
      </c>
      <c r="K33" s="7" t="s">
        <v>79</v>
      </c>
      <c r="L33" s="11">
        <v>70715.846321999998</v>
      </c>
      <c r="M33" s="5">
        <f t="shared" si="3"/>
        <v>21.09</v>
      </c>
      <c r="N33" s="6">
        <f t="shared" si="4"/>
        <v>2066.8200000000002</v>
      </c>
      <c r="O33" s="10"/>
    </row>
    <row r="34" spans="2:15" ht="18" customHeight="1" x14ac:dyDescent="0.3">
      <c r="B34" s="4">
        <f t="shared" si="5"/>
        <v>30</v>
      </c>
      <c r="C34" s="5">
        <f t="shared" si="0"/>
        <v>24.975000000000001</v>
      </c>
      <c r="D34" s="6">
        <f t="shared" si="1"/>
        <v>2447.5500000000002</v>
      </c>
      <c r="E34" s="7">
        <v>45</v>
      </c>
      <c r="F34" s="7">
        <v>555</v>
      </c>
      <c r="G34" s="7" t="s">
        <v>66</v>
      </c>
      <c r="H34" s="8">
        <f t="shared" si="2"/>
        <v>86163.75</v>
      </c>
      <c r="I34" s="9">
        <v>3450</v>
      </c>
      <c r="J34" s="10" t="s">
        <v>80</v>
      </c>
      <c r="K34" s="7" t="s">
        <v>79</v>
      </c>
      <c r="L34" s="11">
        <v>87398.212440000018</v>
      </c>
      <c r="M34" s="5">
        <f t="shared" si="3"/>
        <v>24.975000000000001</v>
      </c>
      <c r="N34" s="6">
        <f t="shared" si="4"/>
        <v>2447.5500000000002</v>
      </c>
      <c r="O34" s="10"/>
    </row>
    <row r="35" spans="2:15" ht="18" customHeight="1" x14ac:dyDescent="0.3">
      <c r="B35" s="4">
        <f t="shared" si="5"/>
        <v>31</v>
      </c>
      <c r="C35" s="5">
        <f t="shared" si="0"/>
        <v>31.635000000000002</v>
      </c>
      <c r="D35" s="6">
        <f t="shared" si="1"/>
        <v>3100.23</v>
      </c>
      <c r="E35" s="7">
        <v>57</v>
      </c>
      <c r="F35" s="7">
        <v>555</v>
      </c>
      <c r="G35" s="7" t="s">
        <v>66</v>
      </c>
      <c r="H35" s="8">
        <f t="shared" si="2"/>
        <v>105977.25</v>
      </c>
      <c r="I35" s="9">
        <v>3350</v>
      </c>
      <c r="J35" s="10" t="s">
        <v>80</v>
      </c>
      <c r="K35" s="7" t="s">
        <v>79</v>
      </c>
      <c r="L35" s="11">
        <v>101632.07947200001</v>
      </c>
      <c r="M35" s="5">
        <f t="shared" si="3"/>
        <v>31.635000000000002</v>
      </c>
      <c r="N35" s="6">
        <f t="shared" si="4"/>
        <v>3100.23</v>
      </c>
      <c r="O35" s="10"/>
    </row>
    <row r="36" spans="2:15" ht="18" customHeight="1" x14ac:dyDescent="0.3">
      <c r="B36" s="4">
        <f t="shared" si="5"/>
        <v>32</v>
      </c>
      <c r="C36" s="5">
        <f t="shared" si="0"/>
        <v>36.630000000000003</v>
      </c>
      <c r="D36" s="6">
        <f t="shared" si="1"/>
        <v>3589.7400000000002</v>
      </c>
      <c r="E36" s="7">
        <v>66</v>
      </c>
      <c r="F36" s="7">
        <v>555</v>
      </c>
      <c r="G36" s="7" t="s">
        <v>67</v>
      </c>
      <c r="H36" s="8">
        <f t="shared" si="2"/>
        <v>122344.20000000001</v>
      </c>
      <c r="I36" s="9">
        <v>3340</v>
      </c>
      <c r="J36" s="10" t="s">
        <v>80</v>
      </c>
      <c r="K36" s="7" t="s">
        <v>79</v>
      </c>
      <c r="L36" s="11">
        <v>115342.729854</v>
      </c>
      <c r="M36" s="5">
        <f t="shared" si="3"/>
        <v>36.630000000000003</v>
      </c>
      <c r="N36" s="6">
        <f t="shared" si="4"/>
        <v>3589.7400000000002</v>
      </c>
      <c r="O36" s="10"/>
    </row>
    <row r="37" spans="2:15" ht="18" customHeight="1" x14ac:dyDescent="0.3">
      <c r="B37" s="4">
        <f t="shared" si="5"/>
        <v>33</v>
      </c>
      <c r="C37" s="5">
        <f t="shared" ref="C37:C68" si="6">IF(OR(E37="",F37=""),"",E37*F37/1000)</f>
        <v>41.625</v>
      </c>
      <c r="D37" s="6">
        <f t="shared" ref="D37:D68" si="7">IF(C37="","",C37*98)</f>
        <v>4079.25</v>
      </c>
      <c r="E37" s="7">
        <v>75</v>
      </c>
      <c r="F37" s="7">
        <v>555</v>
      </c>
      <c r="G37" s="7" t="s">
        <v>68</v>
      </c>
      <c r="H37" s="8">
        <f t="shared" ref="H37:H68" si="8">IF(OR(C37="",I37=""),"",I37*C37)</f>
        <v>137778.75</v>
      </c>
      <c r="I37" s="9">
        <v>3310</v>
      </c>
      <c r="J37" s="10" t="s">
        <v>80</v>
      </c>
      <c r="K37" s="7" t="s">
        <v>79</v>
      </c>
      <c r="L37" s="11">
        <v>135545.653716</v>
      </c>
      <c r="M37" s="5">
        <f t="shared" ref="M37:M68" si="9">IF(OR(E37="",F37=""),"",E37*F37/1000)</f>
        <v>41.625</v>
      </c>
      <c r="N37" s="6">
        <f t="shared" ref="N37:N68" si="10">IF(M37="","",M37*100*0.98)</f>
        <v>4079.25</v>
      </c>
      <c r="O37" s="10"/>
    </row>
    <row r="38" spans="2:15" ht="18" customHeight="1" x14ac:dyDescent="0.3">
      <c r="B38" s="4">
        <f t="shared" ref="B38:B69" si="11">IF(E38="","",1+B37)</f>
        <v>34</v>
      </c>
      <c r="C38" s="5">
        <f t="shared" si="6"/>
        <v>47.174999999999997</v>
      </c>
      <c r="D38" s="6">
        <f t="shared" si="7"/>
        <v>4623.1499999999996</v>
      </c>
      <c r="E38" s="7">
        <v>85</v>
      </c>
      <c r="F38" s="7">
        <v>555</v>
      </c>
      <c r="G38" s="7" t="s">
        <v>68</v>
      </c>
      <c r="H38" s="8">
        <f t="shared" si="8"/>
        <v>156149.25</v>
      </c>
      <c r="I38" s="9">
        <v>3310</v>
      </c>
      <c r="J38" s="10" t="s">
        <v>80</v>
      </c>
      <c r="K38" s="7" t="s">
        <v>79</v>
      </c>
      <c r="L38" s="11">
        <v>151070.38848000002</v>
      </c>
      <c r="M38" s="5">
        <f t="shared" si="9"/>
        <v>47.174999999999997</v>
      </c>
      <c r="N38" s="6">
        <f t="shared" si="10"/>
        <v>4623.1499999999996</v>
      </c>
      <c r="O38" s="10"/>
    </row>
    <row r="39" spans="2:15" ht="18" customHeight="1" x14ac:dyDescent="0.3">
      <c r="B39" s="4">
        <f t="shared" si="11"/>
        <v>35</v>
      </c>
      <c r="C39" s="5">
        <f t="shared" si="6"/>
        <v>52.17</v>
      </c>
      <c r="D39" s="6">
        <f t="shared" si="7"/>
        <v>5112.66</v>
      </c>
      <c r="E39" s="7">
        <v>94</v>
      </c>
      <c r="F39" s="7">
        <v>555</v>
      </c>
      <c r="G39" s="7" t="s">
        <v>68</v>
      </c>
      <c r="H39" s="8">
        <f t="shared" si="8"/>
        <v>169030.80000000002</v>
      </c>
      <c r="I39" s="9">
        <v>3240</v>
      </c>
      <c r="J39" s="10" t="s">
        <v>80</v>
      </c>
      <c r="K39" s="7" t="s">
        <v>79</v>
      </c>
      <c r="L39" s="11">
        <v>164336.39288</v>
      </c>
      <c r="M39" s="5">
        <f t="shared" si="9"/>
        <v>52.17</v>
      </c>
      <c r="N39" s="6">
        <f t="shared" si="10"/>
        <v>5112.66</v>
      </c>
      <c r="O39" s="10"/>
    </row>
    <row r="40" spans="2:15" ht="18" customHeight="1" x14ac:dyDescent="0.3">
      <c r="B40" s="4">
        <f t="shared" si="11"/>
        <v>36</v>
      </c>
      <c r="C40" s="5">
        <f t="shared" si="6"/>
        <v>57.164999999999999</v>
      </c>
      <c r="D40" s="6">
        <f t="shared" si="7"/>
        <v>5602.17</v>
      </c>
      <c r="E40" s="7">
        <v>103</v>
      </c>
      <c r="F40" s="7">
        <v>555</v>
      </c>
      <c r="G40" s="7" t="s">
        <v>69</v>
      </c>
      <c r="H40" s="8">
        <f t="shared" si="8"/>
        <v>184357.125</v>
      </c>
      <c r="I40" s="9">
        <v>3225</v>
      </c>
      <c r="J40" s="10" t="s">
        <v>80</v>
      </c>
      <c r="K40" s="7" t="s">
        <v>79</v>
      </c>
      <c r="L40" s="11">
        <v>180357.42003400001</v>
      </c>
      <c r="M40" s="5">
        <f t="shared" si="9"/>
        <v>57.164999999999999</v>
      </c>
      <c r="N40" s="6">
        <f t="shared" si="10"/>
        <v>5602.17</v>
      </c>
      <c r="O40" s="10"/>
    </row>
    <row r="41" spans="2:15" ht="18" customHeight="1" x14ac:dyDescent="0.3">
      <c r="B41" s="4">
        <f t="shared" si="11"/>
        <v>37</v>
      </c>
      <c r="C41" s="5">
        <f t="shared" si="6"/>
        <v>62.715000000000003</v>
      </c>
      <c r="D41" s="6">
        <f t="shared" si="7"/>
        <v>6146.0700000000006</v>
      </c>
      <c r="E41" s="7">
        <v>113</v>
      </c>
      <c r="F41" s="7">
        <v>555</v>
      </c>
      <c r="G41" s="7" t="s">
        <v>69</v>
      </c>
      <c r="H41" s="8">
        <f t="shared" si="8"/>
        <v>198806.55000000002</v>
      </c>
      <c r="I41" s="9">
        <v>3170</v>
      </c>
      <c r="J41" s="10" t="s">
        <v>80</v>
      </c>
      <c r="K41" s="7" t="s">
        <v>79</v>
      </c>
      <c r="L41" s="11">
        <v>193453.43171</v>
      </c>
      <c r="M41" s="5">
        <f t="shared" si="9"/>
        <v>62.715000000000003</v>
      </c>
      <c r="N41" s="6">
        <f t="shared" si="10"/>
        <v>6146.07</v>
      </c>
      <c r="O41" s="10"/>
    </row>
    <row r="42" spans="2:15" ht="18" customHeight="1" x14ac:dyDescent="0.3">
      <c r="B42" s="4">
        <f t="shared" si="11"/>
        <v>38</v>
      </c>
      <c r="C42" s="5">
        <f t="shared" si="6"/>
        <v>67.709999999999994</v>
      </c>
      <c r="D42" s="6">
        <f t="shared" si="7"/>
        <v>6635.579999999999</v>
      </c>
      <c r="E42" s="7">
        <v>122</v>
      </c>
      <c r="F42" s="7">
        <v>555</v>
      </c>
      <c r="G42" s="7" t="s">
        <v>69</v>
      </c>
      <c r="H42" s="8">
        <f t="shared" si="8"/>
        <v>213963.59999999998</v>
      </c>
      <c r="I42" s="9">
        <v>3160</v>
      </c>
      <c r="J42" s="10" t="s">
        <v>80</v>
      </c>
      <c r="K42" s="7" t="s">
        <v>79</v>
      </c>
      <c r="L42" s="11">
        <v>212515.30887399998</v>
      </c>
      <c r="M42" s="5">
        <f t="shared" si="9"/>
        <v>67.709999999999994</v>
      </c>
      <c r="N42" s="6">
        <f t="shared" si="10"/>
        <v>6635.579999999999</v>
      </c>
      <c r="O42" s="10"/>
    </row>
    <row r="43" spans="2:15" ht="18" customHeight="1" x14ac:dyDescent="0.3">
      <c r="B43" s="4">
        <f t="shared" si="11"/>
        <v>39</v>
      </c>
      <c r="C43" s="5">
        <f t="shared" si="6"/>
        <v>73.260000000000005</v>
      </c>
      <c r="D43" s="6">
        <f t="shared" si="7"/>
        <v>7179.4800000000005</v>
      </c>
      <c r="E43" s="7">
        <v>132</v>
      </c>
      <c r="F43" s="7">
        <v>555</v>
      </c>
      <c r="G43" s="7" t="s">
        <v>70</v>
      </c>
      <c r="H43" s="8">
        <f t="shared" si="8"/>
        <v>227106.00000000003</v>
      </c>
      <c r="I43" s="9">
        <v>3100</v>
      </c>
      <c r="J43" s="10" t="s">
        <v>80</v>
      </c>
      <c r="K43" s="7" t="s">
        <v>79</v>
      </c>
      <c r="L43" s="11">
        <v>228279.77277600003</v>
      </c>
      <c r="M43" s="5">
        <f t="shared" si="9"/>
        <v>73.260000000000005</v>
      </c>
      <c r="N43" s="6">
        <f t="shared" si="10"/>
        <v>7179.4800000000005</v>
      </c>
      <c r="O43" s="10"/>
    </row>
    <row r="44" spans="2:15" ht="18" customHeight="1" x14ac:dyDescent="0.3">
      <c r="B44" s="4">
        <f t="shared" si="11"/>
        <v>40</v>
      </c>
      <c r="C44" s="5">
        <f t="shared" si="6"/>
        <v>78.254999999999995</v>
      </c>
      <c r="D44" s="6">
        <f t="shared" si="7"/>
        <v>7668.99</v>
      </c>
      <c r="E44" s="7">
        <v>141</v>
      </c>
      <c r="F44" s="7">
        <v>555</v>
      </c>
      <c r="G44" s="7" t="s">
        <v>70</v>
      </c>
      <c r="H44" s="8">
        <f t="shared" si="8"/>
        <v>241807.94999999998</v>
      </c>
      <c r="I44" s="9">
        <v>3090</v>
      </c>
      <c r="J44" s="10" t="s">
        <v>80</v>
      </c>
      <c r="K44" s="7" t="s">
        <v>79</v>
      </c>
      <c r="L44" s="11">
        <v>241315.88872600003</v>
      </c>
      <c r="M44" s="5">
        <f t="shared" si="9"/>
        <v>78.254999999999995</v>
      </c>
      <c r="N44" s="6">
        <f t="shared" si="10"/>
        <v>7668.99</v>
      </c>
      <c r="O44" s="10"/>
    </row>
    <row r="45" spans="2:15" ht="18" customHeight="1" x14ac:dyDescent="0.3">
      <c r="B45" s="4">
        <f t="shared" si="11"/>
        <v>41</v>
      </c>
      <c r="C45" s="5">
        <f t="shared" si="6"/>
        <v>83.805000000000007</v>
      </c>
      <c r="D45" s="6">
        <f t="shared" si="7"/>
        <v>8212.8900000000012</v>
      </c>
      <c r="E45" s="7">
        <v>151</v>
      </c>
      <c r="F45" s="7">
        <v>555</v>
      </c>
      <c r="G45" s="7" t="s">
        <v>70</v>
      </c>
      <c r="H45" s="8">
        <f t="shared" si="8"/>
        <v>256443.30000000002</v>
      </c>
      <c r="I45" s="9">
        <v>3060</v>
      </c>
      <c r="J45" s="10" t="s">
        <v>80</v>
      </c>
      <c r="K45" s="7" t="s">
        <v>79</v>
      </c>
      <c r="L45" s="11">
        <v>257114.02085600008</v>
      </c>
      <c r="M45" s="5">
        <f t="shared" si="9"/>
        <v>83.805000000000007</v>
      </c>
      <c r="N45" s="6">
        <f t="shared" si="10"/>
        <v>8212.89</v>
      </c>
      <c r="O45" s="10"/>
    </row>
    <row r="46" spans="2:15" ht="18" customHeight="1" x14ac:dyDescent="0.3">
      <c r="B46" s="4">
        <f t="shared" si="11"/>
        <v>42</v>
      </c>
      <c r="C46" s="5">
        <f t="shared" si="6"/>
        <v>88.8</v>
      </c>
      <c r="D46" s="6">
        <f t="shared" si="7"/>
        <v>8702.4</v>
      </c>
      <c r="E46" s="7">
        <v>160</v>
      </c>
      <c r="F46" s="7">
        <v>555</v>
      </c>
      <c r="G46" s="7" t="s">
        <v>70</v>
      </c>
      <c r="H46" s="8">
        <f t="shared" si="8"/>
        <v>269508</v>
      </c>
      <c r="I46" s="9">
        <v>3035</v>
      </c>
      <c r="J46" s="10" t="s">
        <v>80</v>
      </c>
      <c r="K46" s="7" t="s">
        <v>79</v>
      </c>
      <c r="L46" s="11">
        <v>271464.10950999998</v>
      </c>
      <c r="M46" s="5">
        <f t="shared" si="9"/>
        <v>88.8</v>
      </c>
      <c r="N46" s="6">
        <f t="shared" si="10"/>
        <v>8702.4</v>
      </c>
      <c r="O46" s="10"/>
    </row>
    <row r="47" spans="2:15" ht="18" customHeight="1" x14ac:dyDescent="0.3">
      <c r="B47" s="4">
        <f t="shared" si="11"/>
        <v>43</v>
      </c>
      <c r="C47" s="5">
        <f t="shared" si="6"/>
        <v>93.795000000000002</v>
      </c>
      <c r="D47" s="6">
        <f t="shared" si="7"/>
        <v>9191.91</v>
      </c>
      <c r="E47" s="7">
        <v>169</v>
      </c>
      <c r="F47" s="7">
        <v>555</v>
      </c>
      <c r="G47" s="7" t="s">
        <v>71</v>
      </c>
      <c r="H47" s="8">
        <f t="shared" si="8"/>
        <v>284667.82500000001</v>
      </c>
      <c r="I47" s="9">
        <v>3035</v>
      </c>
      <c r="J47" s="10" t="s">
        <v>80</v>
      </c>
      <c r="K47" s="7" t="s">
        <v>79</v>
      </c>
      <c r="L47" s="11">
        <v>292056.05022000003</v>
      </c>
      <c r="M47" s="5">
        <f t="shared" si="9"/>
        <v>93.795000000000002</v>
      </c>
      <c r="N47" s="6">
        <f t="shared" si="10"/>
        <v>9191.91</v>
      </c>
      <c r="O47" s="10"/>
    </row>
    <row r="48" spans="2:15" ht="18" customHeight="1" x14ac:dyDescent="0.3">
      <c r="B48" s="4">
        <f t="shared" si="11"/>
        <v>44</v>
      </c>
      <c r="C48" s="5">
        <f t="shared" si="6"/>
        <v>98.79</v>
      </c>
      <c r="D48" s="6">
        <f t="shared" si="7"/>
        <v>9681.42</v>
      </c>
      <c r="E48" s="7">
        <v>178</v>
      </c>
      <c r="F48" s="7">
        <v>555</v>
      </c>
      <c r="G48" s="7" t="s">
        <v>71</v>
      </c>
      <c r="H48" s="8">
        <f t="shared" si="8"/>
        <v>299333.7</v>
      </c>
      <c r="I48" s="9">
        <v>3030</v>
      </c>
      <c r="J48" s="10" t="s">
        <v>80</v>
      </c>
      <c r="K48" s="7" t="s">
        <v>79</v>
      </c>
      <c r="L48" s="11">
        <v>306451.46281200001</v>
      </c>
      <c r="M48" s="5">
        <f t="shared" si="9"/>
        <v>98.79</v>
      </c>
      <c r="N48" s="6">
        <f t="shared" si="10"/>
        <v>9681.42</v>
      </c>
      <c r="O48" s="10"/>
    </row>
    <row r="49" spans="2:15" ht="18" customHeight="1" x14ac:dyDescent="0.3">
      <c r="B49" s="4">
        <f t="shared" si="11"/>
        <v>45</v>
      </c>
      <c r="C49" s="5">
        <f t="shared" si="6"/>
        <v>104.34</v>
      </c>
      <c r="D49" s="6">
        <f t="shared" si="7"/>
        <v>10225.32</v>
      </c>
      <c r="E49" s="7">
        <v>188</v>
      </c>
      <c r="F49" s="7">
        <v>555</v>
      </c>
      <c r="G49" s="7" t="s">
        <v>71</v>
      </c>
      <c r="H49" s="8">
        <f t="shared" si="8"/>
        <v>315106.8</v>
      </c>
      <c r="I49" s="9">
        <v>3020</v>
      </c>
      <c r="J49" s="10" t="s">
        <v>80</v>
      </c>
      <c r="K49" s="7" t="s">
        <v>79</v>
      </c>
      <c r="L49" s="11">
        <v>321223.43655600003</v>
      </c>
      <c r="M49" s="5">
        <f t="shared" si="9"/>
        <v>104.34</v>
      </c>
      <c r="N49" s="6">
        <f t="shared" si="10"/>
        <v>10225.32</v>
      </c>
      <c r="O49" s="10"/>
    </row>
    <row r="50" spans="2:15" ht="18" customHeight="1" x14ac:dyDescent="0.3">
      <c r="B50" s="4">
        <f t="shared" si="11"/>
        <v>46</v>
      </c>
      <c r="C50" s="5">
        <f t="shared" si="6"/>
        <v>108.22499999999999</v>
      </c>
      <c r="D50" s="6">
        <f t="shared" si="7"/>
        <v>10606.05</v>
      </c>
      <c r="E50" s="7">
        <v>195</v>
      </c>
      <c r="F50" s="7">
        <v>555</v>
      </c>
      <c r="G50" s="7" t="s">
        <v>71</v>
      </c>
      <c r="H50" s="8">
        <f t="shared" si="8"/>
        <v>325757.25</v>
      </c>
      <c r="I50" s="9">
        <v>3010</v>
      </c>
      <c r="J50" s="10" t="s">
        <v>80</v>
      </c>
      <c r="K50" s="7" t="s">
        <v>79</v>
      </c>
      <c r="L50" s="11">
        <v>330648.49312</v>
      </c>
      <c r="M50" s="5">
        <f t="shared" si="9"/>
        <v>108.22499999999999</v>
      </c>
      <c r="N50" s="6">
        <f t="shared" si="10"/>
        <v>10606.05</v>
      </c>
      <c r="O50" s="10"/>
    </row>
    <row r="51" spans="2:15" ht="18" customHeight="1" x14ac:dyDescent="0.3">
      <c r="B51" s="4">
        <f t="shared" si="11"/>
        <v>47</v>
      </c>
      <c r="C51" s="5">
        <f t="shared" si="6"/>
        <v>113.22</v>
      </c>
      <c r="D51" s="6">
        <f t="shared" si="7"/>
        <v>11095.56</v>
      </c>
      <c r="E51" s="7">
        <v>204</v>
      </c>
      <c r="F51" s="7">
        <v>555</v>
      </c>
      <c r="G51" s="7" t="s">
        <v>71</v>
      </c>
      <c r="H51" s="8">
        <f t="shared" si="8"/>
        <v>337395.6</v>
      </c>
      <c r="I51" s="9">
        <v>2980</v>
      </c>
      <c r="J51" s="10" t="s">
        <v>80</v>
      </c>
      <c r="K51" s="7" t="s">
        <v>79</v>
      </c>
      <c r="L51" s="11">
        <v>342731.85155000002</v>
      </c>
      <c r="M51" s="5">
        <f t="shared" si="9"/>
        <v>113.22</v>
      </c>
      <c r="N51" s="6">
        <f t="shared" si="10"/>
        <v>11095.56</v>
      </c>
      <c r="O51" s="10"/>
    </row>
    <row r="52" spans="2:15" ht="18" customHeight="1" x14ac:dyDescent="0.3">
      <c r="B52" s="4">
        <f t="shared" si="11"/>
        <v>48</v>
      </c>
      <c r="C52" s="5">
        <f t="shared" si="6"/>
        <v>118.77</v>
      </c>
      <c r="D52" s="6">
        <f t="shared" si="7"/>
        <v>11639.46</v>
      </c>
      <c r="E52" s="7">
        <v>214</v>
      </c>
      <c r="F52" s="7">
        <v>555</v>
      </c>
      <c r="G52" s="7" t="s">
        <v>71</v>
      </c>
      <c r="H52" s="8">
        <f t="shared" si="8"/>
        <v>352153.05</v>
      </c>
      <c r="I52" s="9">
        <v>2965</v>
      </c>
      <c r="J52" s="10" t="s">
        <v>80</v>
      </c>
      <c r="K52" s="7" t="s">
        <v>79</v>
      </c>
      <c r="L52" s="11">
        <v>359201.0257</v>
      </c>
      <c r="M52" s="5">
        <f t="shared" si="9"/>
        <v>118.77</v>
      </c>
      <c r="N52" s="6">
        <f t="shared" si="10"/>
        <v>11639.46</v>
      </c>
      <c r="O52" s="10"/>
    </row>
    <row r="53" spans="2:15" ht="18" customHeight="1" x14ac:dyDescent="0.3">
      <c r="B53" s="4">
        <f t="shared" si="11"/>
        <v>49</v>
      </c>
      <c r="C53" s="5">
        <f t="shared" si="6"/>
        <v>123.765</v>
      </c>
      <c r="D53" s="6">
        <f t="shared" si="7"/>
        <v>12128.97</v>
      </c>
      <c r="E53" s="7">
        <v>223</v>
      </c>
      <c r="F53" s="7">
        <v>555</v>
      </c>
      <c r="G53" s="7" t="s">
        <v>71</v>
      </c>
      <c r="H53" s="8">
        <f t="shared" si="8"/>
        <v>377483.25</v>
      </c>
      <c r="I53" s="9">
        <v>3050</v>
      </c>
      <c r="J53" s="10" t="s">
        <v>80</v>
      </c>
      <c r="K53" s="7" t="s">
        <v>79</v>
      </c>
      <c r="L53" s="11">
        <v>368853.54495000001</v>
      </c>
      <c r="M53" s="5">
        <f t="shared" si="9"/>
        <v>123.765</v>
      </c>
      <c r="N53" s="6">
        <f t="shared" si="10"/>
        <v>12128.97</v>
      </c>
      <c r="O53" s="10"/>
    </row>
    <row r="54" spans="2:15" ht="18" customHeight="1" x14ac:dyDescent="0.3">
      <c r="B54" s="4">
        <f t="shared" si="11"/>
        <v>50</v>
      </c>
      <c r="C54" s="5">
        <f t="shared" si="6"/>
        <v>128.76</v>
      </c>
      <c r="D54" s="6">
        <f t="shared" si="7"/>
        <v>12618.48</v>
      </c>
      <c r="E54" s="7">
        <v>232</v>
      </c>
      <c r="F54" s="7">
        <v>555</v>
      </c>
      <c r="G54" s="7" t="s">
        <v>72</v>
      </c>
      <c r="H54" s="8">
        <f t="shared" si="8"/>
        <v>388855.19999999995</v>
      </c>
      <c r="I54" s="9">
        <v>3020</v>
      </c>
      <c r="J54" s="10" t="s">
        <v>80</v>
      </c>
      <c r="K54" s="7" t="s">
        <v>79</v>
      </c>
      <c r="L54" s="11">
        <v>386476.12687200005</v>
      </c>
      <c r="M54" s="5">
        <f t="shared" si="9"/>
        <v>128.76</v>
      </c>
      <c r="N54" s="6">
        <f t="shared" si="10"/>
        <v>12618.48</v>
      </c>
      <c r="O54" s="10"/>
    </row>
    <row r="55" spans="2:15" ht="18" customHeight="1" x14ac:dyDescent="0.3">
      <c r="B55" s="4">
        <f t="shared" si="11"/>
        <v>51</v>
      </c>
      <c r="C55" s="5">
        <f t="shared" si="6"/>
        <v>133.755</v>
      </c>
      <c r="D55" s="6">
        <f t="shared" si="7"/>
        <v>13107.99</v>
      </c>
      <c r="E55" s="7">
        <v>241</v>
      </c>
      <c r="F55" s="7">
        <v>555</v>
      </c>
      <c r="G55" s="7" t="s">
        <v>72</v>
      </c>
      <c r="H55" s="8">
        <f t="shared" si="8"/>
        <v>399927.45</v>
      </c>
      <c r="I55" s="9">
        <v>2990</v>
      </c>
      <c r="J55" s="10" t="s">
        <v>80</v>
      </c>
      <c r="K55" s="7" t="s">
        <v>79</v>
      </c>
      <c r="L55" s="11">
        <v>397539.44293800008</v>
      </c>
      <c r="M55" s="5">
        <f t="shared" si="9"/>
        <v>133.755</v>
      </c>
      <c r="N55" s="6">
        <f t="shared" si="10"/>
        <v>13107.99</v>
      </c>
      <c r="O55" s="10"/>
    </row>
    <row r="56" spans="2:15" ht="18" customHeight="1" x14ac:dyDescent="0.3">
      <c r="B56" s="4">
        <f t="shared" si="11"/>
        <v>52</v>
      </c>
      <c r="C56" s="5">
        <f t="shared" si="6"/>
        <v>139.30500000000001</v>
      </c>
      <c r="D56" s="6">
        <f t="shared" si="7"/>
        <v>13651.890000000001</v>
      </c>
      <c r="E56" s="7">
        <v>251</v>
      </c>
      <c r="F56" s="7">
        <v>555</v>
      </c>
      <c r="G56" s="7" t="s">
        <v>72</v>
      </c>
      <c r="H56" s="8">
        <f t="shared" si="8"/>
        <v>415128.9</v>
      </c>
      <c r="I56" s="9">
        <v>2980</v>
      </c>
      <c r="J56" s="10" t="s">
        <v>80</v>
      </c>
      <c r="K56" s="7" t="s">
        <v>79</v>
      </c>
      <c r="L56" s="11">
        <v>409014.02922600001</v>
      </c>
      <c r="M56" s="5">
        <f t="shared" si="9"/>
        <v>139.30500000000001</v>
      </c>
      <c r="N56" s="6">
        <f t="shared" si="10"/>
        <v>13651.89</v>
      </c>
      <c r="O56" s="10"/>
    </row>
    <row r="57" spans="2:15" ht="18" customHeight="1" x14ac:dyDescent="0.3">
      <c r="B57" s="4">
        <f t="shared" si="11"/>
        <v>53</v>
      </c>
      <c r="C57" s="5">
        <f t="shared" si="6"/>
        <v>144.30000000000001</v>
      </c>
      <c r="D57" s="6">
        <f t="shared" si="7"/>
        <v>14141.400000000001</v>
      </c>
      <c r="E57" s="7">
        <v>260</v>
      </c>
      <c r="F57" s="7">
        <v>555</v>
      </c>
      <c r="G57" s="7" t="s">
        <v>72</v>
      </c>
      <c r="H57" s="8">
        <f t="shared" si="8"/>
        <v>427128.00000000006</v>
      </c>
      <c r="I57" s="9">
        <v>2960</v>
      </c>
      <c r="J57" s="10" t="s">
        <v>80</v>
      </c>
      <c r="K57" s="7" t="s">
        <v>79</v>
      </c>
      <c r="L57" s="11">
        <v>424416.03065400006</v>
      </c>
      <c r="M57" s="5">
        <f t="shared" si="9"/>
        <v>144.30000000000001</v>
      </c>
      <c r="N57" s="6">
        <f t="shared" si="10"/>
        <v>14141.400000000001</v>
      </c>
      <c r="O57" s="10"/>
    </row>
    <row r="58" spans="2:15" ht="18" customHeight="1" x14ac:dyDescent="0.3">
      <c r="B58" s="4">
        <f t="shared" si="11"/>
        <v>54</v>
      </c>
      <c r="C58" s="5">
        <f t="shared" si="6"/>
        <v>149.29499999999999</v>
      </c>
      <c r="D58" s="6">
        <f t="shared" si="7"/>
        <v>14630.909999999998</v>
      </c>
      <c r="E58" s="7">
        <v>269</v>
      </c>
      <c r="F58" s="7">
        <v>555</v>
      </c>
      <c r="G58" s="7" t="s">
        <v>72</v>
      </c>
      <c r="H58" s="8">
        <f t="shared" si="8"/>
        <v>438927.3</v>
      </c>
      <c r="I58" s="9">
        <v>2940</v>
      </c>
      <c r="J58" s="10" t="s">
        <v>80</v>
      </c>
      <c r="K58" s="7" t="s">
        <v>79</v>
      </c>
      <c r="L58" s="11">
        <v>431978.64239200001</v>
      </c>
      <c r="M58" s="5">
        <f t="shared" si="9"/>
        <v>149.29499999999999</v>
      </c>
      <c r="N58" s="6">
        <f t="shared" si="10"/>
        <v>14630.909999999998</v>
      </c>
      <c r="O58" s="10"/>
    </row>
    <row r="59" spans="2:15" ht="18" customHeight="1" x14ac:dyDescent="0.3">
      <c r="B59" s="4">
        <f t="shared" si="11"/>
        <v>55</v>
      </c>
      <c r="C59" s="5">
        <f t="shared" si="6"/>
        <v>154.845</v>
      </c>
      <c r="D59" s="6">
        <f t="shared" si="7"/>
        <v>15174.81</v>
      </c>
      <c r="E59" s="7">
        <v>279</v>
      </c>
      <c r="F59" s="7">
        <v>555</v>
      </c>
      <c r="G59" s="7" t="s">
        <v>72</v>
      </c>
      <c r="H59" s="8">
        <f t="shared" si="8"/>
        <v>455244.3</v>
      </c>
      <c r="I59" s="9">
        <v>2940</v>
      </c>
      <c r="J59" s="10" t="s">
        <v>80</v>
      </c>
      <c r="K59" s="7" t="s">
        <v>79</v>
      </c>
      <c r="L59" s="11">
        <v>443608.02167000005</v>
      </c>
      <c r="M59" s="5">
        <f t="shared" si="9"/>
        <v>154.845</v>
      </c>
      <c r="N59" s="6">
        <f t="shared" si="10"/>
        <v>15174.81</v>
      </c>
      <c r="O59" s="10"/>
    </row>
    <row r="60" spans="2:15" ht="18" customHeight="1" x14ac:dyDescent="0.3">
      <c r="B60" s="4">
        <f t="shared" si="11"/>
        <v>56</v>
      </c>
      <c r="C60" s="5">
        <f t="shared" si="6"/>
        <v>159.84</v>
      </c>
      <c r="D60" s="6">
        <f t="shared" si="7"/>
        <v>15664.32</v>
      </c>
      <c r="E60" s="7">
        <v>288</v>
      </c>
      <c r="F60" s="7">
        <v>555</v>
      </c>
      <c r="G60" s="7" t="s">
        <v>73</v>
      </c>
      <c r="H60" s="8">
        <f t="shared" si="8"/>
        <v>469929.60000000003</v>
      </c>
      <c r="I60" s="9">
        <v>2940</v>
      </c>
      <c r="J60" s="10" t="s">
        <v>80</v>
      </c>
      <c r="K60" s="7" t="s">
        <v>79</v>
      </c>
      <c r="L60" s="11">
        <v>473438.235116</v>
      </c>
      <c r="M60" s="5">
        <f t="shared" si="9"/>
        <v>159.84</v>
      </c>
      <c r="N60" s="6">
        <f t="shared" si="10"/>
        <v>15664.32</v>
      </c>
      <c r="O60" s="10"/>
    </row>
    <row r="61" spans="2:15" ht="18" customHeight="1" x14ac:dyDescent="0.3">
      <c r="B61" s="4">
        <f t="shared" si="11"/>
        <v>57</v>
      </c>
      <c r="C61" s="5">
        <f t="shared" si="6"/>
        <v>164.83500000000001</v>
      </c>
      <c r="D61" s="6">
        <f t="shared" si="7"/>
        <v>16153.83</v>
      </c>
      <c r="E61" s="7">
        <v>297</v>
      </c>
      <c r="F61" s="7">
        <v>555</v>
      </c>
      <c r="G61" s="7" t="s">
        <v>73</v>
      </c>
      <c r="H61" s="8">
        <f t="shared" si="8"/>
        <v>484120.39500000002</v>
      </c>
      <c r="I61" s="9">
        <v>2937</v>
      </c>
      <c r="J61" s="10" t="s">
        <v>80</v>
      </c>
      <c r="K61" s="7" t="s">
        <v>79</v>
      </c>
      <c r="L61" s="11">
        <v>487893.28537400009</v>
      </c>
      <c r="M61" s="5">
        <f t="shared" si="9"/>
        <v>164.83500000000001</v>
      </c>
      <c r="N61" s="6">
        <f t="shared" si="10"/>
        <v>16153.83</v>
      </c>
      <c r="O61" s="10"/>
    </row>
    <row r="62" spans="2:15" ht="18" customHeight="1" x14ac:dyDescent="0.3">
      <c r="B62" s="4">
        <f t="shared" si="11"/>
        <v>58</v>
      </c>
      <c r="C62" s="5">
        <f t="shared" si="6"/>
        <v>169.83</v>
      </c>
      <c r="D62" s="6">
        <f t="shared" si="7"/>
        <v>16643.34</v>
      </c>
      <c r="E62" s="7">
        <v>306</v>
      </c>
      <c r="F62" s="7">
        <v>555</v>
      </c>
      <c r="G62" s="7" t="s">
        <v>73</v>
      </c>
      <c r="H62" s="8">
        <f t="shared" si="8"/>
        <v>505244.25000000006</v>
      </c>
      <c r="I62" s="9">
        <v>2975</v>
      </c>
      <c r="J62" s="10" t="s">
        <v>80</v>
      </c>
      <c r="K62" s="7" t="s">
        <v>79</v>
      </c>
      <c r="L62" s="11">
        <v>498961.76263999997</v>
      </c>
      <c r="M62" s="5">
        <f t="shared" si="9"/>
        <v>169.83</v>
      </c>
      <c r="N62" s="6">
        <f t="shared" si="10"/>
        <v>16643.34</v>
      </c>
      <c r="O62" s="10"/>
    </row>
    <row r="63" spans="2:15" ht="18" customHeight="1" x14ac:dyDescent="0.3">
      <c r="B63" s="4" t="str">
        <f t="shared" si="11"/>
        <v/>
      </c>
      <c r="C63" s="5" t="str">
        <f t="shared" si="6"/>
        <v/>
      </c>
      <c r="D63" s="6" t="str">
        <f t="shared" si="7"/>
        <v/>
      </c>
      <c r="E63" s="7"/>
      <c r="F63" s="7"/>
      <c r="G63" s="7"/>
      <c r="H63" s="8" t="str">
        <f t="shared" si="8"/>
        <v/>
      </c>
      <c r="I63" s="9"/>
      <c r="J63" s="10"/>
      <c r="K63" s="7"/>
      <c r="L63" s="11"/>
      <c r="M63" s="5" t="str">
        <f t="shared" si="9"/>
        <v/>
      </c>
      <c r="N63" s="6" t="str">
        <f t="shared" si="10"/>
        <v/>
      </c>
      <c r="O63" s="10"/>
    </row>
    <row r="64" spans="2:15" ht="18" customHeight="1" x14ac:dyDescent="0.3">
      <c r="B64" s="4" t="str">
        <f t="shared" si="11"/>
        <v/>
      </c>
      <c r="C64" s="5" t="str">
        <f t="shared" si="6"/>
        <v/>
      </c>
      <c r="D64" s="6" t="str">
        <f t="shared" si="7"/>
        <v/>
      </c>
      <c r="E64" s="7"/>
      <c r="F64" s="7"/>
      <c r="G64" s="7"/>
      <c r="H64" s="8" t="str">
        <f t="shared" si="8"/>
        <v/>
      </c>
      <c r="I64" s="9"/>
      <c r="J64" s="10"/>
      <c r="K64" s="7"/>
      <c r="L64" s="11"/>
      <c r="M64" s="5" t="str">
        <f t="shared" si="9"/>
        <v/>
      </c>
      <c r="N64" s="6" t="str">
        <f t="shared" si="10"/>
        <v/>
      </c>
      <c r="O64" s="10"/>
    </row>
    <row r="65" spans="2:15" ht="18" customHeight="1" x14ac:dyDescent="0.3">
      <c r="B65" s="4" t="str">
        <f t="shared" si="11"/>
        <v/>
      </c>
      <c r="C65" s="5" t="str">
        <f t="shared" si="6"/>
        <v/>
      </c>
      <c r="D65" s="6" t="str">
        <f t="shared" si="7"/>
        <v/>
      </c>
      <c r="E65" s="7"/>
      <c r="F65" s="7"/>
      <c r="G65" s="7"/>
      <c r="H65" s="8" t="str">
        <f t="shared" si="8"/>
        <v/>
      </c>
      <c r="I65" s="9"/>
      <c r="J65" s="10"/>
      <c r="K65" s="7"/>
      <c r="L65" s="11"/>
      <c r="M65" s="5" t="str">
        <f t="shared" si="9"/>
        <v/>
      </c>
      <c r="N65" s="6" t="str">
        <f t="shared" si="10"/>
        <v/>
      </c>
      <c r="O65" s="10"/>
    </row>
    <row r="66" spans="2:15" ht="18" customHeight="1" x14ac:dyDescent="0.3">
      <c r="B66" s="4" t="str">
        <f t="shared" si="11"/>
        <v/>
      </c>
      <c r="C66" s="5" t="str">
        <f t="shared" si="6"/>
        <v/>
      </c>
      <c r="D66" s="6" t="str">
        <f t="shared" si="7"/>
        <v/>
      </c>
      <c r="E66" s="7"/>
      <c r="F66" s="7"/>
      <c r="G66" s="7"/>
      <c r="H66" s="8" t="str">
        <f t="shared" si="8"/>
        <v/>
      </c>
      <c r="I66" s="9"/>
      <c r="J66" s="10"/>
      <c r="K66" s="7"/>
      <c r="L66" s="11"/>
      <c r="M66" s="5" t="str">
        <f t="shared" si="9"/>
        <v/>
      </c>
      <c r="N66" s="6" t="str">
        <f t="shared" si="10"/>
        <v/>
      </c>
      <c r="O66" s="10"/>
    </row>
    <row r="67" spans="2:15" ht="18" customHeight="1" x14ac:dyDescent="0.3">
      <c r="B67" s="4" t="str">
        <f t="shared" si="11"/>
        <v/>
      </c>
      <c r="C67" s="5" t="str">
        <f t="shared" si="6"/>
        <v/>
      </c>
      <c r="D67" s="6" t="str">
        <f t="shared" si="7"/>
        <v/>
      </c>
      <c r="E67" s="7"/>
      <c r="F67" s="7"/>
      <c r="G67" s="7"/>
      <c r="H67" s="8" t="str">
        <f t="shared" si="8"/>
        <v/>
      </c>
      <c r="I67" s="9"/>
      <c r="J67" s="10"/>
      <c r="K67" s="7"/>
      <c r="L67" s="11"/>
      <c r="M67" s="5" t="str">
        <f t="shared" si="9"/>
        <v/>
      </c>
      <c r="N67" s="6" t="str">
        <f t="shared" si="10"/>
        <v/>
      </c>
      <c r="O67" s="10"/>
    </row>
    <row r="68" spans="2:15" ht="18" customHeight="1" x14ac:dyDescent="0.3">
      <c r="B68" s="4" t="str">
        <f t="shared" si="11"/>
        <v/>
      </c>
      <c r="C68" s="5" t="str">
        <f t="shared" si="6"/>
        <v/>
      </c>
      <c r="D68" s="6" t="str">
        <f t="shared" si="7"/>
        <v/>
      </c>
      <c r="E68" s="7"/>
      <c r="F68" s="7"/>
      <c r="G68" s="7"/>
      <c r="H68" s="8" t="str">
        <f t="shared" si="8"/>
        <v/>
      </c>
      <c r="I68" s="9"/>
      <c r="J68" s="10"/>
      <c r="K68" s="7"/>
      <c r="L68" s="11"/>
      <c r="M68" s="5" t="str">
        <f t="shared" si="9"/>
        <v/>
      </c>
      <c r="N68" s="6" t="str">
        <f t="shared" si="10"/>
        <v/>
      </c>
      <c r="O68" s="10"/>
    </row>
    <row r="69" spans="2:15" ht="18" customHeight="1" x14ac:dyDescent="0.3">
      <c r="B69" s="4" t="str">
        <f t="shared" si="11"/>
        <v/>
      </c>
      <c r="C69" s="5" t="str">
        <f t="shared" ref="C69:C84" si="12">IF(OR(E69="",F69=""),"",E69*F69/1000)</f>
        <v/>
      </c>
      <c r="D69" s="6" t="str">
        <f t="shared" ref="D69:D100" si="13">IF(C69="","",C69*98)</f>
        <v/>
      </c>
      <c r="E69" s="7"/>
      <c r="F69" s="7"/>
      <c r="G69" s="7"/>
      <c r="H69" s="8" t="str">
        <f t="shared" ref="H69:H100" si="14">IF(OR(C69="",I69=""),"",I69*C69)</f>
        <v/>
      </c>
      <c r="I69" s="9"/>
      <c r="J69" s="10"/>
      <c r="K69" s="7"/>
      <c r="L69" s="11"/>
      <c r="M69" s="5" t="str">
        <f t="shared" ref="M69:M84" si="15">IF(OR(E69="",F69=""),"",E69*F69/1000)</f>
        <v/>
      </c>
      <c r="N69" s="6" t="str">
        <f t="shared" ref="N69:N100" si="16">IF(M69="","",M69*100*0.98)</f>
        <v/>
      </c>
      <c r="O69" s="10"/>
    </row>
    <row r="70" spans="2:15" ht="18" customHeight="1" x14ac:dyDescent="0.3">
      <c r="B70" s="4" t="str">
        <f t="shared" ref="B70:B84" si="17">IF(E70="","",1+B69)</f>
        <v/>
      </c>
      <c r="C70" s="5" t="str">
        <f t="shared" si="12"/>
        <v/>
      </c>
      <c r="D70" s="6" t="str">
        <f t="shared" si="13"/>
        <v/>
      </c>
      <c r="E70" s="7"/>
      <c r="F70" s="7"/>
      <c r="G70" s="7"/>
      <c r="H70" s="8" t="str">
        <f t="shared" si="14"/>
        <v/>
      </c>
      <c r="I70" s="9"/>
      <c r="J70" s="10"/>
      <c r="K70" s="7"/>
      <c r="L70" s="11"/>
      <c r="M70" s="5" t="str">
        <f t="shared" si="15"/>
        <v/>
      </c>
      <c r="N70" s="6" t="str">
        <f t="shared" si="16"/>
        <v/>
      </c>
      <c r="O70" s="10"/>
    </row>
    <row r="71" spans="2:15" ht="18" customHeight="1" x14ac:dyDescent="0.3">
      <c r="B71" s="4" t="str">
        <f t="shared" si="17"/>
        <v/>
      </c>
      <c r="C71" s="5" t="str">
        <f t="shared" si="12"/>
        <v/>
      </c>
      <c r="D71" s="6" t="str">
        <f t="shared" si="13"/>
        <v/>
      </c>
      <c r="E71" s="7"/>
      <c r="F71" s="7"/>
      <c r="G71" s="7"/>
      <c r="H71" s="8" t="str">
        <f t="shared" si="14"/>
        <v/>
      </c>
      <c r="I71" s="9"/>
      <c r="J71" s="10"/>
      <c r="K71" s="7"/>
      <c r="L71" s="11"/>
      <c r="M71" s="5" t="str">
        <f t="shared" si="15"/>
        <v/>
      </c>
      <c r="N71" s="6" t="str">
        <f t="shared" si="16"/>
        <v/>
      </c>
      <c r="O71" s="10"/>
    </row>
    <row r="72" spans="2:15" ht="18" customHeight="1" x14ac:dyDescent="0.3">
      <c r="B72" s="4" t="str">
        <f t="shared" si="17"/>
        <v/>
      </c>
      <c r="C72" s="5" t="str">
        <f t="shared" si="12"/>
        <v/>
      </c>
      <c r="D72" s="6" t="str">
        <f t="shared" si="13"/>
        <v/>
      </c>
      <c r="E72" s="7"/>
      <c r="F72" s="7"/>
      <c r="G72" s="7"/>
      <c r="H72" s="8" t="str">
        <f t="shared" si="14"/>
        <v/>
      </c>
      <c r="I72" s="9"/>
      <c r="J72" s="10"/>
      <c r="K72" s="7"/>
      <c r="L72" s="11"/>
      <c r="M72" s="5" t="str">
        <f t="shared" si="15"/>
        <v/>
      </c>
      <c r="N72" s="6" t="str">
        <f t="shared" si="16"/>
        <v/>
      </c>
      <c r="O72" s="10"/>
    </row>
    <row r="73" spans="2:15" ht="18" customHeight="1" x14ac:dyDescent="0.3">
      <c r="B73" s="4" t="str">
        <f t="shared" si="17"/>
        <v/>
      </c>
      <c r="C73" s="5" t="str">
        <f t="shared" si="12"/>
        <v/>
      </c>
      <c r="D73" s="6" t="str">
        <f t="shared" si="13"/>
        <v/>
      </c>
      <c r="E73" s="7"/>
      <c r="F73" s="7"/>
      <c r="G73" s="7"/>
      <c r="H73" s="8" t="str">
        <f t="shared" si="14"/>
        <v/>
      </c>
      <c r="I73" s="9"/>
      <c r="J73" s="10"/>
      <c r="K73" s="7"/>
      <c r="L73" s="11"/>
      <c r="M73" s="5" t="str">
        <f t="shared" si="15"/>
        <v/>
      </c>
      <c r="N73" s="6" t="str">
        <f t="shared" si="16"/>
        <v/>
      </c>
      <c r="O73" s="10"/>
    </row>
    <row r="74" spans="2:15" ht="18" customHeight="1" x14ac:dyDescent="0.3">
      <c r="B74" s="4" t="str">
        <f t="shared" si="17"/>
        <v/>
      </c>
      <c r="C74" s="5" t="str">
        <f t="shared" si="12"/>
        <v/>
      </c>
      <c r="D74" s="6" t="str">
        <f t="shared" si="13"/>
        <v/>
      </c>
      <c r="E74" s="7"/>
      <c r="F74" s="7"/>
      <c r="G74" s="7"/>
      <c r="H74" s="8" t="str">
        <f t="shared" si="14"/>
        <v/>
      </c>
      <c r="I74" s="9"/>
      <c r="J74" s="10"/>
      <c r="K74" s="7"/>
      <c r="L74" s="11"/>
      <c r="M74" s="5" t="str">
        <f t="shared" si="15"/>
        <v/>
      </c>
      <c r="N74" s="6" t="str">
        <f t="shared" si="16"/>
        <v/>
      </c>
      <c r="O74" s="10"/>
    </row>
    <row r="75" spans="2:15" ht="18" customHeight="1" x14ac:dyDescent="0.3">
      <c r="B75" s="4" t="str">
        <f t="shared" si="17"/>
        <v/>
      </c>
      <c r="C75" s="5" t="str">
        <f t="shared" si="12"/>
        <v/>
      </c>
      <c r="D75" s="6" t="str">
        <f t="shared" si="13"/>
        <v/>
      </c>
      <c r="E75" s="7"/>
      <c r="F75" s="7"/>
      <c r="G75" s="7"/>
      <c r="H75" s="8" t="str">
        <f t="shared" si="14"/>
        <v/>
      </c>
      <c r="I75" s="9"/>
      <c r="J75" s="10"/>
      <c r="K75" s="7"/>
      <c r="L75" s="11"/>
      <c r="M75" s="5" t="str">
        <f t="shared" si="15"/>
        <v/>
      </c>
      <c r="N75" s="6" t="str">
        <f t="shared" si="16"/>
        <v/>
      </c>
      <c r="O75" s="10"/>
    </row>
    <row r="76" spans="2:15" ht="18" customHeight="1" x14ac:dyDescent="0.3">
      <c r="B76" s="4" t="str">
        <f t="shared" si="17"/>
        <v/>
      </c>
      <c r="C76" s="5" t="str">
        <f t="shared" si="12"/>
        <v/>
      </c>
      <c r="D76" s="6" t="str">
        <f t="shared" si="13"/>
        <v/>
      </c>
      <c r="E76" s="7"/>
      <c r="F76" s="7"/>
      <c r="G76" s="7"/>
      <c r="H76" s="8" t="str">
        <f t="shared" si="14"/>
        <v/>
      </c>
      <c r="I76" s="9"/>
      <c r="J76" s="10"/>
      <c r="K76" s="7"/>
      <c r="L76" s="11"/>
      <c r="M76" s="5" t="str">
        <f t="shared" si="15"/>
        <v/>
      </c>
      <c r="N76" s="6" t="str">
        <f t="shared" si="16"/>
        <v/>
      </c>
      <c r="O76" s="10"/>
    </row>
    <row r="77" spans="2:15" ht="18" customHeight="1" x14ac:dyDescent="0.3">
      <c r="B77" s="4" t="str">
        <f t="shared" si="17"/>
        <v/>
      </c>
      <c r="C77" s="5" t="str">
        <f t="shared" si="12"/>
        <v/>
      </c>
      <c r="D77" s="6" t="str">
        <f t="shared" si="13"/>
        <v/>
      </c>
      <c r="E77" s="7"/>
      <c r="F77" s="7"/>
      <c r="G77" s="7"/>
      <c r="H77" s="8" t="str">
        <f t="shared" si="14"/>
        <v/>
      </c>
      <c r="I77" s="9"/>
      <c r="J77" s="10"/>
      <c r="K77" s="7"/>
      <c r="L77" s="11"/>
      <c r="M77" s="5" t="str">
        <f t="shared" si="15"/>
        <v/>
      </c>
      <c r="N77" s="6" t="str">
        <f t="shared" si="16"/>
        <v/>
      </c>
      <c r="O77" s="10"/>
    </row>
    <row r="78" spans="2:15" ht="18" customHeight="1" x14ac:dyDescent="0.3">
      <c r="B78" s="4" t="str">
        <f t="shared" si="17"/>
        <v/>
      </c>
      <c r="C78" s="5" t="str">
        <f t="shared" si="12"/>
        <v/>
      </c>
      <c r="D78" s="6" t="str">
        <f t="shared" si="13"/>
        <v/>
      </c>
      <c r="E78" s="7"/>
      <c r="F78" s="7"/>
      <c r="G78" s="7"/>
      <c r="H78" s="8" t="str">
        <f t="shared" si="14"/>
        <v/>
      </c>
      <c r="I78" s="9"/>
      <c r="J78" s="10"/>
      <c r="K78" s="7"/>
      <c r="L78" s="11"/>
      <c r="M78" s="5" t="str">
        <f t="shared" si="15"/>
        <v/>
      </c>
      <c r="N78" s="6" t="str">
        <f t="shared" si="16"/>
        <v/>
      </c>
      <c r="O78" s="10"/>
    </row>
    <row r="79" spans="2:15" ht="18" customHeight="1" x14ac:dyDescent="0.3">
      <c r="B79" s="4" t="str">
        <f t="shared" si="17"/>
        <v/>
      </c>
      <c r="C79" s="5" t="str">
        <f t="shared" si="12"/>
        <v/>
      </c>
      <c r="D79" s="6" t="str">
        <f t="shared" si="13"/>
        <v/>
      </c>
      <c r="E79" s="7"/>
      <c r="F79" s="7"/>
      <c r="G79" s="7"/>
      <c r="H79" s="8" t="str">
        <f t="shared" si="14"/>
        <v/>
      </c>
      <c r="I79" s="9"/>
      <c r="J79" s="10"/>
      <c r="K79" s="7"/>
      <c r="L79" s="11"/>
      <c r="M79" s="5" t="str">
        <f t="shared" si="15"/>
        <v/>
      </c>
      <c r="N79" s="6" t="str">
        <f t="shared" si="16"/>
        <v/>
      </c>
      <c r="O79" s="10"/>
    </row>
    <row r="80" spans="2:15" ht="18" customHeight="1" x14ac:dyDescent="0.3">
      <c r="B80" s="4" t="str">
        <f t="shared" si="17"/>
        <v/>
      </c>
      <c r="C80" s="5" t="str">
        <f t="shared" si="12"/>
        <v/>
      </c>
      <c r="D80" s="6" t="str">
        <f t="shared" si="13"/>
        <v/>
      </c>
      <c r="E80" s="7"/>
      <c r="F80" s="7"/>
      <c r="G80" s="7"/>
      <c r="H80" s="8" t="str">
        <f t="shared" si="14"/>
        <v/>
      </c>
      <c r="I80" s="9"/>
      <c r="J80" s="10"/>
      <c r="K80" s="7"/>
      <c r="L80" s="11"/>
      <c r="M80" s="5" t="str">
        <f t="shared" si="15"/>
        <v/>
      </c>
      <c r="N80" s="6" t="str">
        <f t="shared" si="16"/>
        <v/>
      </c>
      <c r="O80" s="10"/>
    </row>
    <row r="81" spans="2:15" ht="18" customHeight="1" x14ac:dyDescent="0.3">
      <c r="B81" s="4" t="str">
        <f t="shared" si="17"/>
        <v/>
      </c>
      <c r="C81" s="5" t="str">
        <f t="shared" si="12"/>
        <v/>
      </c>
      <c r="D81" s="6" t="str">
        <f t="shared" si="13"/>
        <v/>
      </c>
      <c r="E81" s="7"/>
      <c r="F81" s="7"/>
      <c r="G81" s="7"/>
      <c r="H81" s="8" t="str">
        <f t="shared" si="14"/>
        <v/>
      </c>
      <c r="I81" s="9"/>
      <c r="J81" s="10"/>
      <c r="K81" s="7"/>
      <c r="L81" s="11"/>
      <c r="M81" s="5" t="str">
        <f t="shared" si="15"/>
        <v/>
      </c>
      <c r="N81" s="6" t="str">
        <f t="shared" si="16"/>
        <v/>
      </c>
      <c r="O81" s="10"/>
    </row>
    <row r="82" spans="2:15" ht="18" customHeight="1" x14ac:dyDescent="0.3">
      <c r="B82" s="4" t="str">
        <f t="shared" si="17"/>
        <v/>
      </c>
      <c r="C82" s="5" t="str">
        <f t="shared" si="12"/>
        <v/>
      </c>
      <c r="D82" s="6" t="str">
        <f t="shared" si="13"/>
        <v/>
      </c>
      <c r="E82" s="7"/>
      <c r="F82" s="7"/>
      <c r="G82" s="7"/>
      <c r="H82" s="8" t="str">
        <f t="shared" si="14"/>
        <v/>
      </c>
      <c r="I82" s="9"/>
      <c r="J82" s="10"/>
      <c r="K82" s="7"/>
      <c r="L82" s="11"/>
      <c r="M82" s="5" t="str">
        <f t="shared" si="15"/>
        <v/>
      </c>
      <c r="N82" s="6" t="str">
        <f t="shared" si="16"/>
        <v/>
      </c>
      <c r="O82" s="10"/>
    </row>
    <row r="83" spans="2:15" ht="18" customHeight="1" x14ac:dyDescent="0.3">
      <c r="B83" s="4" t="str">
        <f t="shared" si="17"/>
        <v/>
      </c>
      <c r="C83" s="5" t="str">
        <f t="shared" si="12"/>
        <v/>
      </c>
      <c r="D83" s="6" t="str">
        <f t="shared" si="13"/>
        <v/>
      </c>
      <c r="E83" s="7"/>
      <c r="F83" s="7"/>
      <c r="G83" s="7"/>
      <c r="H83" s="8" t="str">
        <f t="shared" si="14"/>
        <v/>
      </c>
      <c r="I83" s="9"/>
      <c r="J83" s="10"/>
      <c r="K83" s="7"/>
      <c r="L83" s="11"/>
      <c r="M83" s="5" t="str">
        <f t="shared" si="15"/>
        <v/>
      </c>
      <c r="N83" s="6" t="str">
        <f t="shared" si="16"/>
        <v/>
      </c>
      <c r="O83" s="10"/>
    </row>
    <row r="84" spans="2:15" ht="18" customHeight="1" x14ac:dyDescent="0.3">
      <c r="B84" s="4" t="str">
        <f t="shared" si="17"/>
        <v/>
      </c>
      <c r="C84" s="5" t="str">
        <f t="shared" si="12"/>
        <v/>
      </c>
      <c r="D84" s="6" t="str">
        <f t="shared" si="13"/>
        <v/>
      </c>
      <c r="E84" s="7"/>
      <c r="F84" s="7"/>
      <c r="G84" s="7"/>
      <c r="H84" s="8" t="str">
        <f t="shared" si="14"/>
        <v/>
      </c>
      <c r="I84" s="9"/>
      <c r="J84" s="10"/>
      <c r="K84" s="7"/>
      <c r="L84" s="11"/>
      <c r="M84" s="5" t="str">
        <f t="shared" si="15"/>
        <v/>
      </c>
      <c r="N84" s="6" t="str">
        <f t="shared" si="16"/>
        <v/>
      </c>
      <c r="O84" s="10"/>
    </row>
  </sheetData>
  <sheetProtection password="CE4B" sheet="1"/>
  <autoFilter ref="B4:O84" xr:uid="{00000000-0009-0000-0000-000001000000}"/>
  <mergeCells count="2">
    <mergeCell ref="B3:O3"/>
    <mergeCell ref="B2:O2"/>
  </mergeCells>
  <dataValidations count="1">
    <dataValidation type="list" allowBlank="1" errorTitle="Padrão / Fase" error="Use Monofásico ou Trifásico" sqref="K5:K84" xr:uid="{00000000-0002-0000-0100-000000000000}">
      <formula1>"Monofásico,Trifásico"</formula1>
    </dataValidation>
  </dataValidations>
  <pageMargins left="0.75" right="0.75" top="1" bottom="1" header="0.5" footer="0.5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Instrucoes</vt:lpstr>
      <vt:lpstr>Tabela de Precos 4Bi</vt:lpstr>
      <vt:lpstr>'Tabela de Precos 4Bi'!Area_de_impressao</vt:lpstr>
      <vt:lpstr>'Tabela de Precos 4Bi'!Titulos_de_impressao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Luciana Araujo</cp:lastModifiedBy>
  <dcterms:created xsi:type="dcterms:W3CDTF">2026-08-14T13:33:05Z</dcterms:created>
  <dcterms:modified xsi:type="dcterms:W3CDTF">2026-08-19T17:49:16Z</dcterms:modified>
</cp:coreProperties>
</file>