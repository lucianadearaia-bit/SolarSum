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abela de Precos 4Bi" sheetId="2" state="visible" r:id="rId2"/>
  </sheets>
  <definedNames>
    <definedName name="_xlnm._FilterDatabase" localSheetId="1" hidden="1">'Tabela de Precos 4Bi'!$B$4:$O$84</definedName>
    <definedName name="_xlnm.Print_Titles" localSheetId="1">'Tabela de Precos 4Bi'!$1:$4</definedName>
    <definedName name="_xlnm.Print_Area" localSheetId="1">'Tabela de Precos 4Bi'!$B$2:$O$84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0B1F3A"/>
      <sz val="16"/>
    </font>
    <font>
      <b val="1"/>
      <color rgb="00C47A00"/>
      <sz val="12"/>
    </font>
    <font>
      <name val="Calibri"/>
      <b val="1"/>
      <color rgb="00FFFFFF"/>
      <sz val="14"/>
    </font>
    <font>
      <name val="Calibri"/>
      <i val="1"/>
      <color rgb="000B1F3A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47A00"/>
      </patternFill>
    </fill>
    <fill>
      <patternFill patternType="solid">
        <fgColor rgb="00E9EE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applyProtection="1" pivotButton="0" quotePrefix="0" xfId="0">
      <alignment horizontal="center" vertical="center"/>
      <protection locked="0" hidden="0"/>
    </xf>
    <xf numFmtId="164" fontId="0" fillId="4" borderId="1" applyAlignment="1" pivotButton="0" quotePrefix="0" xfId="0">
      <alignment horizontal="center" vertical="center"/>
    </xf>
    <xf numFmtId="3" fontId="0" fillId="5" borderId="1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left" vertical="center"/>
      <protection locked="0" hidden="0"/>
    </xf>
    <xf numFmtId="164" fontId="0" fillId="5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SolarSun</author>
  </authors>
  <commentList>
    <comment ref="E5" authorId="0" shapeId="0">
      <text>
        <t>Preenchimento livre: quantidade de módulos do kit.</t>
      </text>
    </comment>
    <comment ref="F5" authorId="0" shapeId="0">
      <text>
        <t>Preenchimento livre: potência do módulo em watts.</t>
      </text>
    </comment>
    <comment ref="I5" authorId="0" shapeId="0">
      <text>
        <t>Preenchimento livre: índice R\$/kWp para calcular o preço.</t>
      </text>
    </comment>
    <comment ref="L5" authorId="0" shapeId="0">
      <text>
        <t>Preenchimento livre: não há fórmula nesta coluna.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2"/>
  <sheetViews>
    <sheetView workbookViewId="0">
      <selection activeCell="A1" sqref="A1"/>
    </sheetView>
  </sheetViews>
  <sheetFormatPr baseColWidth="8" defaultRowHeight="15" outlineLevelCol="0"/>
  <cols>
    <col width="18" customWidth="1" min="2" max="2"/>
    <col width="22" customWidth="1" min="3" max="3"/>
    <col width="70" customWidth="1" min="4" max="4"/>
  </cols>
  <sheetData>
    <row r="2">
      <c r="B2" s="1" t="inlineStr">
        <is>
          <t>TABELA DE PREÇOS 4Bi — PADRÃO DE IMPORTAÇÃO</t>
        </is>
      </c>
    </row>
    <row r="4">
      <c r="B4" t="inlineStr">
        <is>
          <t>Esta planilha é o modelo oficial para importar kits geradores fotovoltaicos no Relatório SolarSun.</t>
        </is>
      </c>
    </row>
    <row r="6">
      <c r="B6" s="2" t="inlineStr">
        <is>
          <t>COMO USAR</t>
        </is>
      </c>
    </row>
    <row r="7">
      <c r="B7" t="inlineStr">
        <is>
          <t>1. Preencha somente as colunas AMARELAS (sem fórmula). As colunas cinza são calculadas automaticamente.</t>
        </is>
      </c>
    </row>
    <row r="8">
      <c r="B8" t="inlineStr">
        <is>
          <t>2. Não altere os nomes da aba "Tabela de Precos 4Bi" nem o cabeçalho da linha 4.</t>
        </is>
      </c>
    </row>
    <row r="9">
      <c r="B9" t="inlineStr">
        <is>
          <t>3. Não apague as fórmulas das colunas cinza. Se precisar de mais linhas, copie a última linha com fórmulas.</t>
        </is>
      </c>
    </row>
    <row r="10">
      <c r="B10" t="inlineStr">
        <is>
          <t>4. Salve o arquivo e importe pelo botão "Importar 4Bi" no relatório HTML.</t>
        </is>
      </c>
    </row>
    <row r="12">
      <c r="B12" s="2" t="inlineStr">
        <is>
          <t>COLUNAS DE PREENCHIMENTO LIVRE (sem fórmula)</t>
        </is>
      </c>
    </row>
    <row r="13">
      <c r="B13" t="inlineStr">
        <is>
          <t>Coluna</t>
        </is>
      </c>
      <c r="C13" t="inlineStr">
        <is>
          <t>Campo</t>
        </is>
      </c>
      <c r="D13" t="inlineStr">
        <is>
          <t>Descrição</t>
        </is>
      </c>
    </row>
    <row r="14">
      <c r="B14" t="inlineStr">
        <is>
          <t>E</t>
        </is>
      </c>
      <c r="C14" t="inlineStr">
        <is>
          <t>Qtde Painéis</t>
        </is>
      </c>
      <c r="D14" t="inlineStr">
        <is>
          <t>Número inteiro de módulos do kit</t>
        </is>
      </c>
    </row>
    <row r="15">
      <c r="B15" t="inlineStr">
        <is>
          <t>F</t>
        </is>
      </c>
      <c r="C15" t="inlineStr">
        <is>
          <t>Pot. Painéis (W)</t>
        </is>
      </c>
      <c r="D15" t="inlineStr">
        <is>
          <t>Potência unitária do módulo, em watts (ex.: 555)</t>
        </is>
      </c>
    </row>
    <row r="16">
      <c r="B16" t="inlineStr">
        <is>
          <t>G</t>
        </is>
      </c>
      <c r="C16" t="inlineStr">
        <is>
          <t>Pot. Inversor</t>
        </is>
      </c>
      <c r="D16" t="inlineStr">
        <is>
          <t>Potência do inversor (texto livre, ex.: 5.000W)</t>
        </is>
      </c>
    </row>
    <row r="17">
      <c r="B17" t="inlineStr">
        <is>
          <t>I</t>
        </is>
      </c>
      <c r="C17" t="inlineStr">
        <is>
          <t>Índice de Preço</t>
        </is>
      </c>
      <c r="D17" t="inlineStr">
        <is>
          <t>R\$ por kWp usado para calcular o preço do kit</t>
        </is>
      </c>
    </row>
    <row r="18">
      <c r="B18" t="inlineStr">
        <is>
          <t>J</t>
        </is>
      </c>
      <c r="C18" t="inlineStr">
        <is>
          <t>Marca Inversor</t>
        </is>
      </c>
      <c r="D18" t="inlineStr">
        <is>
          <t>Fabricante / modelo (ex.: Deye, GoodWe, Solis)</t>
        </is>
      </c>
    </row>
    <row r="19">
      <c r="B19" t="inlineStr">
        <is>
          <t>K</t>
        </is>
      </c>
      <c r="C19" t="inlineStr">
        <is>
          <t>Padrão / Fase</t>
        </is>
      </c>
      <c r="D19" t="inlineStr">
        <is>
          <t>Monofásico ou Trifásico</t>
        </is>
      </c>
    </row>
    <row r="20">
      <c r="B20" t="inlineStr">
        <is>
          <t>L</t>
        </is>
      </c>
      <c r="C20" t="inlineStr">
        <is>
          <t>Valor c 10%</t>
        </is>
      </c>
      <c r="D20" t="inlineStr">
        <is>
          <t>Preço opcional com 10% (preenchimento livre, sem fórmula)</t>
        </is>
      </c>
    </row>
    <row r="21">
      <c r="B21" t="inlineStr">
        <is>
          <t>O</t>
        </is>
      </c>
      <c r="C21" t="inlineStr">
        <is>
          <t>Observações</t>
        </is>
      </c>
      <c r="D21" t="inlineStr">
        <is>
          <t>Campo livre para a proposta</t>
        </is>
      </c>
    </row>
    <row r="23">
      <c r="B23" s="2" t="inlineStr">
        <is>
          <t>COLUNAS CALCULADAS (não preencher)</t>
        </is>
      </c>
    </row>
    <row r="24">
      <c r="B24" t="inlineStr">
        <is>
          <t>Coluna</t>
        </is>
      </c>
      <c r="C24" t="inlineStr">
        <is>
          <t>Campo</t>
        </is>
      </c>
      <c r="D24" t="inlineStr">
        <is>
          <t>Fórmula</t>
        </is>
      </c>
    </row>
    <row r="25">
      <c r="B25" t="inlineStr">
        <is>
          <t>B</t>
        </is>
      </c>
      <c r="C25" t="inlineStr">
        <is>
          <t>N</t>
        </is>
      </c>
      <c r="D25" t="inlineStr">
        <is>
          <t>Sequencial: 1, 2, 3...</t>
        </is>
      </c>
    </row>
    <row r="26">
      <c r="B26" t="inlineStr">
        <is>
          <t>C</t>
        </is>
      </c>
      <c r="C26" t="inlineStr">
        <is>
          <t>Potência KWP</t>
        </is>
      </c>
      <c r="D26" t="inlineStr">
        <is>
          <t>Qtde Painéis × Pot. Painéis (W) / 1000</t>
        </is>
      </c>
    </row>
    <row r="27">
      <c r="B27" t="inlineStr">
        <is>
          <t>D</t>
        </is>
      </c>
      <c r="C27" t="inlineStr">
        <is>
          <t>Média KWh/mês</t>
        </is>
      </c>
      <c r="D27" t="inlineStr">
        <is>
          <t>Potência KWP × 98</t>
        </is>
      </c>
    </row>
    <row r="28">
      <c r="B28" t="inlineStr">
        <is>
          <t>H</t>
        </is>
      </c>
      <c r="C28" t="inlineStr">
        <is>
          <t>Preço (R\$)</t>
        </is>
      </c>
      <c r="D28" t="inlineStr">
        <is>
          <t>Índice de Preço × Potência KWP</t>
        </is>
      </c>
    </row>
    <row r="29">
      <c r="B29" t="inlineStr">
        <is>
          <t>M</t>
        </is>
      </c>
      <c r="C29" t="inlineStr">
        <is>
          <t>Potência KWP2</t>
        </is>
      </c>
      <c r="D29" t="inlineStr">
        <is>
          <t>Mesma fórmula de Potência KWP (referência auxiliar)</t>
        </is>
      </c>
    </row>
    <row r="30">
      <c r="B30" t="inlineStr">
        <is>
          <t>N</t>
        </is>
      </c>
      <c r="C30" t="inlineStr">
        <is>
          <t>Média KWh/mês.</t>
        </is>
      </c>
      <c r="D30" t="inlineStr">
        <is>
          <t>Potência KWP2 × 100 × 0,98</t>
        </is>
      </c>
    </row>
    <row r="32">
      <c r="B32" t="inlineStr">
        <is>
          <t>A aba começa vazia (sem kits). Inclua as linhas necessárias para o relatório do período (ex.: 4º bimestre).</t>
        </is>
      </c>
    </row>
  </sheetData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O8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4" customWidth="1" min="8" max="8"/>
    <col width="16" customWidth="1" min="9" max="9"/>
    <col width="22" customWidth="1" min="10" max="10"/>
    <col width="14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2" ht="28" customHeight="1">
      <c r="B2" s="3" t="inlineStr">
        <is>
          <t>TABELA DE PREÇOS DE KITS GERADORES FOTOVOLTAICOS — 4Bi (padrão de importação SolarSun)</t>
        </is>
      </c>
    </row>
    <row r="3">
      <c r="B3" s="4" t="inlineStr">
        <is>
          <t>Amarelo = preenchimento livre (sem fórmula). Cinza = calculado automaticamente. Não altere o cabeçalho.</t>
        </is>
      </c>
    </row>
    <row r="4" ht="32" customHeight="1">
      <c r="B4" s="5" t="inlineStr">
        <is>
          <t>N</t>
        </is>
      </c>
      <c r="C4" s="5" t="inlineStr">
        <is>
          <t>Potência KWP</t>
        </is>
      </c>
      <c r="D4" s="5" t="inlineStr">
        <is>
          <t>Média KWh/mês</t>
        </is>
      </c>
      <c r="E4" s="5" t="inlineStr">
        <is>
          <t>Qtde Painéis</t>
        </is>
      </c>
      <c r="F4" s="5" t="inlineStr">
        <is>
          <t>Pot. Painéis (W)</t>
        </is>
      </c>
      <c r="G4" s="5" t="inlineStr">
        <is>
          <t>Pot. Inversor</t>
        </is>
      </c>
      <c r="H4" s="5" t="inlineStr">
        <is>
          <t>Preco (R$)</t>
        </is>
      </c>
      <c r="I4" s="5" t="inlineStr">
        <is>
          <t>Índice de Preço</t>
        </is>
      </c>
      <c r="J4" s="5" t="inlineStr">
        <is>
          <t>Marca Inversor</t>
        </is>
      </c>
      <c r="K4" s="5" t="inlineStr">
        <is>
          <t>Padrão / Fase</t>
        </is>
      </c>
      <c r="L4" s="5" t="inlineStr">
        <is>
          <t>Valor c 10%</t>
        </is>
      </c>
      <c r="M4" s="5" t="inlineStr">
        <is>
          <t>Potência KWP2</t>
        </is>
      </c>
      <c r="N4" s="5" t="inlineStr">
        <is>
          <t>Média KWh/mês.</t>
        </is>
      </c>
      <c r="O4" s="5" t="inlineStr">
        <is>
          <t>Observações</t>
        </is>
      </c>
    </row>
    <row r="5" ht="18" customHeight="1">
      <c r="B5" s="6" t="n">
        <v>1</v>
      </c>
      <c r="C5" s="7">
        <f>IF(OR(E5="",F5=""),"",E5*F5/1000)</f>
        <v/>
      </c>
      <c r="D5" s="8">
        <f>IF(C5="","",C5*98)</f>
        <v/>
      </c>
      <c r="E5" s="9" t="n"/>
      <c r="F5" s="9" t="n"/>
      <c r="G5" s="9" t="n"/>
      <c r="H5" s="10">
        <f>IF(OR(C5="",I5=""),"",I5*C5)</f>
        <v/>
      </c>
      <c r="I5" s="11" t="n"/>
      <c r="J5" s="12" t="n"/>
      <c r="K5" s="9" t="n"/>
      <c r="L5" s="13" t="n"/>
      <c r="M5" s="7">
        <f>IF(OR(E5="",F5=""),"",E5*F5/1000)</f>
        <v/>
      </c>
      <c r="N5" s="8">
        <f>IF(M5="","",M5*100*0.98)</f>
        <v/>
      </c>
      <c r="O5" s="12" t="n"/>
    </row>
    <row r="6" ht="18" customHeight="1">
      <c r="B6" s="6">
        <f>IF(E6="","",1+B5)</f>
        <v/>
      </c>
      <c r="C6" s="7">
        <f>IF(OR(E6="",F6=""),"",E6*F6/1000)</f>
        <v/>
      </c>
      <c r="D6" s="8">
        <f>IF(C6="","",C6*98)</f>
        <v/>
      </c>
      <c r="E6" s="9" t="n"/>
      <c r="F6" s="9" t="n"/>
      <c r="G6" s="9" t="n"/>
      <c r="H6" s="10">
        <f>IF(OR(C6="",I6=""),"",I6*C6)</f>
        <v/>
      </c>
      <c r="I6" s="11" t="n"/>
      <c r="J6" s="12" t="n"/>
      <c r="K6" s="9" t="n"/>
      <c r="L6" s="13" t="n"/>
      <c r="M6" s="7">
        <f>IF(OR(E6="",F6=""),"",E6*F6/1000)</f>
        <v/>
      </c>
      <c r="N6" s="8">
        <f>IF(M6="","",M6*100*0.98)</f>
        <v/>
      </c>
      <c r="O6" s="12" t="n"/>
    </row>
    <row r="7" ht="18" customHeight="1">
      <c r="B7" s="6">
        <f>IF(E7="","",1+B6)</f>
        <v/>
      </c>
      <c r="C7" s="7">
        <f>IF(OR(E7="",F7=""),"",E7*F7/1000)</f>
        <v/>
      </c>
      <c r="D7" s="8">
        <f>IF(C7="","",C7*98)</f>
        <v/>
      </c>
      <c r="E7" s="9" t="n"/>
      <c r="F7" s="9" t="n"/>
      <c r="G7" s="9" t="n"/>
      <c r="H7" s="10">
        <f>IF(OR(C7="",I7=""),"",I7*C7)</f>
        <v/>
      </c>
      <c r="I7" s="11" t="n"/>
      <c r="J7" s="12" t="n"/>
      <c r="K7" s="9" t="n"/>
      <c r="L7" s="13" t="n"/>
      <c r="M7" s="7">
        <f>IF(OR(E7="",F7=""),"",E7*F7/1000)</f>
        <v/>
      </c>
      <c r="N7" s="8">
        <f>IF(M7="","",M7*100*0.98)</f>
        <v/>
      </c>
      <c r="O7" s="12" t="n"/>
    </row>
    <row r="8" ht="18" customHeight="1">
      <c r="B8" s="6">
        <f>IF(E8="","",1+B7)</f>
        <v/>
      </c>
      <c r="C8" s="7">
        <f>IF(OR(E8="",F8=""),"",E8*F8/1000)</f>
        <v/>
      </c>
      <c r="D8" s="8">
        <f>IF(C8="","",C8*98)</f>
        <v/>
      </c>
      <c r="E8" s="9" t="n"/>
      <c r="F8" s="9" t="n"/>
      <c r="G8" s="9" t="n"/>
      <c r="H8" s="10">
        <f>IF(OR(C8="",I8=""),"",I8*C8)</f>
        <v/>
      </c>
      <c r="I8" s="11" t="n"/>
      <c r="J8" s="12" t="n"/>
      <c r="K8" s="9" t="n"/>
      <c r="L8" s="13" t="n"/>
      <c r="M8" s="7">
        <f>IF(OR(E8="",F8=""),"",E8*F8/1000)</f>
        <v/>
      </c>
      <c r="N8" s="8">
        <f>IF(M8="","",M8*100*0.98)</f>
        <v/>
      </c>
      <c r="O8" s="12" t="n"/>
    </row>
    <row r="9" ht="18" customHeight="1">
      <c r="B9" s="6">
        <f>IF(E9="","",1+B8)</f>
        <v/>
      </c>
      <c r="C9" s="7">
        <f>IF(OR(E9="",F9=""),"",E9*F9/1000)</f>
        <v/>
      </c>
      <c r="D9" s="8">
        <f>IF(C9="","",C9*98)</f>
        <v/>
      </c>
      <c r="E9" s="9" t="n"/>
      <c r="F9" s="9" t="n"/>
      <c r="G9" s="9" t="n"/>
      <c r="H9" s="10">
        <f>IF(OR(C9="",I9=""),"",I9*C9)</f>
        <v/>
      </c>
      <c r="I9" s="11" t="n"/>
      <c r="J9" s="12" t="n"/>
      <c r="K9" s="9" t="n"/>
      <c r="L9" s="13" t="n"/>
      <c r="M9" s="7">
        <f>IF(OR(E9="",F9=""),"",E9*F9/1000)</f>
        <v/>
      </c>
      <c r="N9" s="8">
        <f>IF(M9="","",M9*100*0.98)</f>
        <v/>
      </c>
      <c r="O9" s="12" t="n"/>
    </row>
    <row r="10" ht="18" customHeight="1">
      <c r="B10" s="6">
        <f>IF(E10="","",1+B9)</f>
        <v/>
      </c>
      <c r="C10" s="7">
        <f>IF(OR(E10="",F10=""),"",E10*F10/1000)</f>
        <v/>
      </c>
      <c r="D10" s="8">
        <f>IF(C10="","",C10*98)</f>
        <v/>
      </c>
      <c r="E10" s="9" t="n"/>
      <c r="F10" s="9" t="n"/>
      <c r="G10" s="9" t="n"/>
      <c r="H10" s="10">
        <f>IF(OR(C10="",I10=""),"",I10*C10)</f>
        <v/>
      </c>
      <c r="I10" s="11" t="n"/>
      <c r="J10" s="12" t="n"/>
      <c r="K10" s="9" t="n"/>
      <c r="L10" s="13" t="n"/>
      <c r="M10" s="7">
        <f>IF(OR(E10="",F10=""),"",E10*F10/1000)</f>
        <v/>
      </c>
      <c r="N10" s="8">
        <f>IF(M10="","",M10*100*0.98)</f>
        <v/>
      </c>
      <c r="O10" s="12" t="n"/>
    </row>
    <row r="11" ht="18" customHeight="1">
      <c r="B11" s="6">
        <f>IF(E11="","",1+B10)</f>
        <v/>
      </c>
      <c r="C11" s="7">
        <f>IF(OR(E11="",F11=""),"",E11*F11/1000)</f>
        <v/>
      </c>
      <c r="D11" s="8">
        <f>IF(C11="","",C11*98)</f>
        <v/>
      </c>
      <c r="E11" s="9" t="n"/>
      <c r="F11" s="9" t="n"/>
      <c r="G11" s="9" t="n"/>
      <c r="H11" s="10">
        <f>IF(OR(C11="",I11=""),"",I11*C11)</f>
        <v/>
      </c>
      <c r="I11" s="11" t="n"/>
      <c r="J11" s="12" t="n"/>
      <c r="K11" s="9" t="n"/>
      <c r="L11" s="13" t="n"/>
      <c r="M11" s="7">
        <f>IF(OR(E11="",F11=""),"",E11*F11/1000)</f>
        <v/>
      </c>
      <c r="N11" s="8">
        <f>IF(M11="","",M11*100*0.98)</f>
        <v/>
      </c>
      <c r="O11" s="12" t="n"/>
    </row>
    <row r="12" ht="18" customHeight="1">
      <c r="B12" s="6">
        <f>IF(E12="","",1+B11)</f>
        <v/>
      </c>
      <c r="C12" s="7">
        <f>IF(OR(E12="",F12=""),"",E12*F12/1000)</f>
        <v/>
      </c>
      <c r="D12" s="8">
        <f>IF(C12="","",C12*98)</f>
        <v/>
      </c>
      <c r="E12" s="9" t="n"/>
      <c r="F12" s="9" t="n"/>
      <c r="G12" s="9" t="n"/>
      <c r="H12" s="10">
        <f>IF(OR(C12="",I12=""),"",I12*C12)</f>
        <v/>
      </c>
      <c r="I12" s="11" t="n"/>
      <c r="J12" s="12" t="n"/>
      <c r="K12" s="9" t="n"/>
      <c r="L12" s="13" t="n"/>
      <c r="M12" s="7">
        <f>IF(OR(E12="",F12=""),"",E12*F12/1000)</f>
        <v/>
      </c>
      <c r="N12" s="8">
        <f>IF(M12="","",M12*100*0.98)</f>
        <v/>
      </c>
      <c r="O12" s="12" t="n"/>
    </row>
    <row r="13" ht="18" customHeight="1">
      <c r="B13" s="6">
        <f>IF(E13="","",1+B12)</f>
        <v/>
      </c>
      <c r="C13" s="7">
        <f>IF(OR(E13="",F13=""),"",E13*F13/1000)</f>
        <v/>
      </c>
      <c r="D13" s="8">
        <f>IF(C13="","",C13*98)</f>
        <v/>
      </c>
      <c r="E13" s="9" t="n"/>
      <c r="F13" s="9" t="n"/>
      <c r="G13" s="9" t="n"/>
      <c r="H13" s="10">
        <f>IF(OR(C13="",I13=""),"",I13*C13)</f>
        <v/>
      </c>
      <c r="I13" s="11" t="n"/>
      <c r="J13" s="12" t="n"/>
      <c r="K13" s="9" t="n"/>
      <c r="L13" s="13" t="n"/>
      <c r="M13" s="7">
        <f>IF(OR(E13="",F13=""),"",E13*F13/1000)</f>
        <v/>
      </c>
      <c r="N13" s="8">
        <f>IF(M13="","",M13*100*0.98)</f>
        <v/>
      </c>
      <c r="O13" s="12" t="n"/>
    </row>
    <row r="14" ht="18" customHeight="1">
      <c r="B14" s="6">
        <f>IF(E14="","",1+B13)</f>
        <v/>
      </c>
      <c r="C14" s="7">
        <f>IF(OR(E14="",F14=""),"",E14*F14/1000)</f>
        <v/>
      </c>
      <c r="D14" s="8">
        <f>IF(C14="","",C14*98)</f>
        <v/>
      </c>
      <c r="E14" s="9" t="n"/>
      <c r="F14" s="9" t="n"/>
      <c r="G14" s="9" t="n"/>
      <c r="H14" s="10">
        <f>IF(OR(C14="",I14=""),"",I14*C14)</f>
        <v/>
      </c>
      <c r="I14" s="11" t="n"/>
      <c r="J14" s="12" t="n"/>
      <c r="K14" s="9" t="n"/>
      <c r="L14" s="13" t="n"/>
      <c r="M14" s="7">
        <f>IF(OR(E14="",F14=""),"",E14*F14/1000)</f>
        <v/>
      </c>
      <c r="N14" s="8">
        <f>IF(M14="","",M14*100*0.98)</f>
        <v/>
      </c>
      <c r="O14" s="12" t="n"/>
    </row>
    <row r="15" ht="18" customHeight="1">
      <c r="B15" s="6">
        <f>IF(E15="","",1+B14)</f>
        <v/>
      </c>
      <c r="C15" s="7">
        <f>IF(OR(E15="",F15=""),"",E15*F15/1000)</f>
        <v/>
      </c>
      <c r="D15" s="8">
        <f>IF(C15="","",C15*98)</f>
        <v/>
      </c>
      <c r="E15" s="9" t="n"/>
      <c r="F15" s="9" t="n"/>
      <c r="G15" s="9" t="n"/>
      <c r="H15" s="10">
        <f>IF(OR(C15="",I15=""),"",I15*C15)</f>
        <v/>
      </c>
      <c r="I15" s="11" t="n"/>
      <c r="J15" s="12" t="n"/>
      <c r="K15" s="9" t="n"/>
      <c r="L15" s="13" t="n"/>
      <c r="M15" s="7">
        <f>IF(OR(E15="",F15=""),"",E15*F15/1000)</f>
        <v/>
      </c>
      <c r="N15" s="8">
        <f>IF(M15="","",M15*100*0.98)</f>
        <v/>
      </c>
      <c r="O15" s="12" t="n"/>
    </row>
    <row r="16" ht="18" customHeight="1">
      <c r="B16" s="6">
        <f>IF(E16="","",1+B15)</f>
        <v/>
      </c>
      <c r="C16" s="7">
        <f>IF(OR(E16="",F16=""),"",E16*F16/1000)</f>
        <v/>
      </c>
      <c r="D16" s="8">
        <f>IF(C16="","",C16*98)</f>
        <v/>
      </c>
      <c r="E16" s="9" t="n"/>
      <c r="F16" s="9" t="n"/>
      <c r="G16" s="9" t="n"/>
      <c r="H16" s="10">
        <f>IF(OR(C16="",I16=""),"",I16*C16)</f>
        <v/>
      </c>
      <c r="I16" s="11" t="n"/>
      <c r="J16" s="12" t="n"/>
      <c r="K16" s="9" t="n"/>
      <c r="L16" s="13" t="n"/>
      <c r="M16" s="7">
        <f>IF(OR(E16="",F16=""),"",E16*F16/1000)</f>
        <v/>
      </c>
      <c r="N16" s="8">
        <f>IF(M16="","",M16*100*0.98)</f>
        <v/>
      </c>
      <c r="O16" s="12" t="n"/>
    </row>
    <row r="17" ht="18" customHeight="1">
      <c r="B17" s="6">
        <f>IF(E17="","",1+B16)</f>
        <v/>
      </c>
      <c r="C17" s="7">
        <f>IF(OR(E17="",F17=""),"",E17*F17/1000)</f>
        <v/>
      </c>
      <c r="D17" s="8">
        <f>IF(C17="","",C17*98)</f>
        <v/>
      </c>
      <c r="E17" s="9" t="n"/>
      <c r="F17" s="9" t="n"/>
      <c r="G17" s="9" t="n"/>
      <c r="H17" s="10">
        <f>IF(OR(C17="",I17=""),"",I17*C17)</f>
        <v/>
      </c>
      <c r="I17" s="11" t="n"/>
      <c r="J17" s="12" t="n"/>
      <c r="K17" s="9" t="n"/>
      <c r="L17" s="13" t="n"/>
      <c r="M17" s="7">
        <f>IF(OR(E17="",F17=""),"",E17*F17/1000)</f>
        <v/>
      </c>
      <c r="N17" s="8">
        <f>IF(M17="","",M17*100*0.98)</f>
        <v/>
      </c>
      <c r="O17" s="12" t="n"/>
    </row>
    <row r="18" ht="18" customHeight="1">
      <c r="B18" s="6">
        <f>IF(E18="","",1+B17)</f>
        <v/>
      </c>
      <c r="C18" s="7">
        <f>IF(OR(E18="",F18=""),"",E18*F18/1000)</f>
        <v/>
      </c>
      <c r="D18" s="8">
        <f>IF(C18="","",C18*98)</f>
        <v/>
      </c>
      <c r="E18" s="9" t="n"/>
      <c r="F18" s="9" t="n"/>
      <c r="G18" s="9" t="n"/>
      <c r="H18" s="10">
        <f>IF(OR(C18="",I18=""),"",I18*C18)</f>
        <v/>
      </c>
      <c r="I18" s="11" t="n"/>
      <c r="J18" s="12" t="n"/>
      <c r="K18" s="9" t="n"/>
      <c r="L18" s="13" t="n"/>
      <c r="M18" s="7">
        <f>IF(OR(E18="",F18=""),"",E18*F18/1000)</f>
        <v/>
      </c>
      <c r="N18" s="8">
        <f>IF(M18="","",M18*100*0.98)</f>
        <v/>
      </c>
      <c r="O18" s="12" t="n"/>
    </row>
    <row r="19" ht="18" customHeight="1">
      <c r="B19" s="6">
        <f>IF(E19="","",1+B18)</f>
        <v/>
      </c>
      <c r="C19" s="7">
        <f>IF(OR(E19="",F19=""),"",E19*F19/1000)</f>
        <v/>
      </c>
      <c r="D19" s="8">
        <f>IF(C19="","",C19*98)</f>
        <v/>
      </c>
      <c r="E19" s="9" t="n"/>
      <c r="F19" s="9" t="n"/>
      <c r="G19" s="9" t="n"/>
      <c r="H19" s="10">
        <f>IF(OR(C19="",I19=""),"",I19*C19)</f>
        <v/>
      </c>
      <c r="I19" s="11" t="n"/>
      <c r="J19" s="12" t="n"/>
      <c r="K19" s="9" t="n"/>
      <c r="L19" s="13" t="n"/>
      <c r="M19" s="7">
        <f>IF(OR(E19="",F19=""),"",E19*F19/1000)</f>
        <v/>
      </c>
      <c r="N19" s="8">
        <f>IF(M19="","",M19*100*0.98)</f>
        <v/>
      </c>
      <c r="O19" s="12" t="n"/>
    </row>
    <row r="20" ht="18" customHeight="1">
      <c r="B20" s="6">
        <f>IF(E20="","",1+B19)</f>
        <v/>
      </c>
      <c r="C20" s="7">
        <f>IF(OR(E20="",F20=""),"",E20*F20/1000)</f>
        <v/>
      </c>
      <c r="D20" s="8">
        <f>IF(C20="","",C20*98)</f>
        <v/>
      </c>
      <c r="E20" s="9" t="n"/>
      <c r="F20" s="9" t="n"/>
      <c r="G20" s="9" t="n"/>
      <c r="H20" s="10">
        <f>IF(OR(C20="",I20=""),"",I20*C20)</f>
        <v/>
      </c>
      <c r="I20" s="11" t="n"/>
      <c r="J20" s="12" t="n"/>
      <c r="K20" s="9" t="n"/>
      <c r="L20" s="13" t="n"/>
      <c r="M20" s="7">
        <f>IF(OR(E20="",F20=""),"",E20*F20/1000)</f>
        <v/>
      </c>
      <c r="N20" s="8">
        <f>IF(M20="","",M20*100*0.98)</f>
        <v/>
      </c>
      <c r="O20" s="12" t="n"/>
    </row>
    <row r="21" ht="18" customHeight="1">
      <c r="B21" s="6">
        <f>IF(E21="","",1+B20)</f>
        <v/>
      </c>
      <c r="C21" s="7">
        <f>IF(OR(E21="",F21=""),"",E21*F21/1000)</f>
        <v/>
      </c>
      <c r="D21" s="8">
        <f>IF(C21="","",C21*98)</f>
        <v/>
      </c>
      <c r="E21" s="9" t="n"/>
      <c r="F21" s="9" t="n"/>
      <c r="G21" s="9" t="n"/>
      <c r="H21" s="10">
        <f>IF(OR(C21="",I21=""),"",I21*C21)</f>
        <v/>
      </c>
      <c r="I21" s="11" t="n"/>
      <c r="J21" s="12" t="n"/>
      <c r="K21" s="9" t="n"/>
      <c r="L21" s="13" t="n"/>
      <c r="M21" s="7">
        <f>IF(OR(E21="",F21=""),"",E21*F21/1000)</f>
        <v/>
      </c>
      <c r="N21" s="8">
        <f>IF(M21="","",M21*100*0.98)</f>
        <v/>
      </c>
      <c r="O21" s="12" t="n"/>
    </row>
    <row r="22" ht="18" customHeight="1">
      <c r="B22" s="6">
        <f>IF(E22="","",1+B21)</f>
        <v/>
      </c>
      <c r="C22" s="7">
        <f>IF(OR(E22="",F22=""),"",E22*F22/1000)</f>
        <v/>
      </c>
      <c r="D22" s="8">
        <f>IF(C22="","",C22*98)</f>
        <v/>
      </c>
      <c r="E22" s="9" t="n"/>
      <c r="F22" s="9" t="n"/>
      <c r="G22" s="9" t="n"/>
      <c r="H22" s="10">
        <f>IF(OR(C22="",I22=""),"",I22*C22)</f>
        <v/>
      </c>
      <c r="I22" s="11" t="n"/>
      <c r="J22" s="12" t="n"/>
      <c r="K22" s="9" t="n"/>
      <c r="L22" s="13" t="n"/>
      <c r="M22" s="7">
        <f>IF(OR(E22="",F22=""),"",E22*F22/1000)</f>
        <v/>
      </c>
      <c r="N22" s="8">
        <f>IF(M22="","",M22*100*0.98)</f>
        <v/>
      </c>
      <c r="O22" s="12" t="n"/>
    </row>
    <row r="23" ht="18" customHeight="1">
      <c r="B23" s="6">
        <f>IF(E23="","",1+B22)</f>
        <v/>
      </c>
      <c r="C23" s="7">
        <f>IF(OR(E23="",F23=""),"",E23*F23/1000)</f>
        <v/>
      </c>
      <c r="D23" s="8">
        <f>IF(C23="","",C23*98)</f>
        <v/>
      </c>
      <c r="E23" s="9" t="n"/>
      <c r="F23" s="9" t="n"/>
      <c r="G23" s="9" t="n"/>
      <c r="H23" s="10">
        <f>IF(OR(C23="",I23=""),"",I23*C23)</f>
        <v/>
      </c>
      <c r="I23" s="11" t="n"/>
      <c r="J23" s="12" t="n"/>
      <c r="K23" s="9" t="n"/>
      <c r="L23" s="13" t="n"/>
      <c r="M23" s="7">
        <f>IF(OR(E23="",F23=""),"",E23*F23/1000)</f>
        <v/>
      </c>
      <c r="N23" s="8">
        <f>IF(M23="","",M23*100*0.98)</f>
        <v/>
      </c>
      <c r="O23" s="12" t="n"/>
    </row>
    <row r="24" ht="18" customHeight="1">
      <c r="B24" s="6">
        <f>IF(E24="","",1+B23)</f>
        <v/>
      </c>
      <c r="C24" s="7">
        <f>IF(OR(E24="",F24=""),"",E24*F24/1000)</f>
        <v/>
      </c>
      <c r="D24" s="8">
        <f>IF(C24="","",C24*98)</f>
        <v/>
      </c>
      <c r="E24" s="9" t="n"/>
      <c r="F24" s="9" t="n"/>
      <c r="G24" s="9" t="n"/>
      <c r="H24" s="10">
        <f>IF(OR(C24="",I24=""),"",I24*C24)</f>
        <v/>
      </c>
      <c r="I24" s="11" t="n"/>
      <c r="J24" s="12" t="n"/>
      <c r="K24" s="9" t="n"/>
      <c r="L24" s="13" t="n"/>
      <c r="M24" s="7">
        <f>IF(OR(E24="",F24=""),"",E24*F24/1000)</f>
        <v/>
      </c>
      <c r="N24" s="8">
        <f>IF(M24="","",M24*100*0.98)</f>
        <v/>
      </c>
      <c r="O24" s="12" t="n"/>
    </row>
    <row r="25" ht="18" customHeight="1">
      <c r="B25" s="6">
        <f>IF(E25="","",1+B24)</f>
        <v/>
      </c>
      <c r="C25" s="7">
        <f>IF(OR(E25="",F25=""),"",E25*F25/1000)</f>
        <v/>
      </c>
      <c r="D25" s="8">
        <f>IF(C25="","",C25*98)</f>
        <v/>
      </c>
      <c r="E25" s="9" t="n"/>
      <c r="F25" s="9" t="n"/>
      <c r="G25" s="9" t="n"/>
      <c r="H25" s="10">
        <f>IF(OR(C25="",I25=""),"",I25*C25)</f>
        <v/>
      </c>
      <c r="I25" s="11" t="n"/>
      <c r="J25" s="12" t="n"/>
      <c r="K25" s="9" t="n"/>
      <c r="L25" s="13" t="n"/>
      <c r="M25" s="7">
        <f>IF(OR(E25="",F25=""),"",E25*F25/1000)</f>
        <v/>
      </c>
      <c r="N25" s="8">
        <f>IF(M25="","",M25*100*0.98)</f>
        <v/>
      </c>
      <c r="O25" s="12" t="n"/>
    </row>
    <row r="26" ht="18" customHeight="1">
      <c r="B26" s="6">
        <f>IF(E26="","",1+B25)</f>
        <v/>
      </c>
      <c r="C26" s="7">
        <f>IF(OR(E26="",F26=""),"",E26*F26/1000)</f>
        <v/>
      </c>
      <c r="D26" s="8">
        <f>IF(C26="","",C26*98)</f>
        <v/>
      </c>
      <c r="E26" s="9" t="n"/>
      <c r="F26" s="9" t="n"/>
      <c r="G26" s="9" t="n"/>
      <c r="H26" s="10">
        <f>IF(OR(C26="",I26=""),"",I26*C26)</f>
        <v/>
      </c>
      <c r="I26" s="11" t="n"/>
      <c r="J26" s="12" t="n"/>
      <c r="K26" s="9" t="n"/>
      <c r="L26" s="13" t="n"/>
      <c r="M26" s="7">
        <f>IF(OR(E26="",F26=""),"",E26*F26/1000)</f>
        <v/>
      </c>
      <c r="N26" s="8">
        <f>IF(M26="","",M26*100*0.98)</f>
        <v/>
      </c>
      <c r="O26" s="12" t="n"/>
    </row>
    <row r="27" ht="18" customHeight="1">
      <c r="B27" s="6">
        <f>IF(E27="","",1+B26)</f>
        <v/>
      </c>
      <c r="C27" s="7">
        <f>IF(OR(E27="",F27=""),"",E27*F27/1000)</f>
        <v/>
      </c>
      <c r="D27" s="8">
        <f>IF(C27="","",C27*98)</f>
        <v/>
      </c>
      <c r="E27" s="9" t="n"/>
      <c r="F27" s="9" t="n"/>
      <c r="G27" s="9" t="n"/>
      <c r="H27" s="10">
        <f>IF(OR(C27="",I27=""),"",I27*C27)</f>
        <v/>
      </c>
      <c r="I27" s="11" t="n"/>
      <c r="J27" s="12" t="n"/>
      <c r="K27" s="9" t="n"/>
      <c r="L27" s="13" t="n"/>
      <c r="M27" s="7">
        <f>IF(OR(E27="",F27=""),"",E27*F27/1000)</f>
        <v/>
      </c>
      <c r="N27" s="8">
        <f>IF(M27="","",M27*100*0.98)</f>
        <v/>
      </c>
      <c r="O27" s="12" t="n"/>
    </row>
    <row r="28" ht="18" customHeight="1">
      <c r="B28" s="6">
        <f>IF(E28="","",1+B27)</f>
        <v/>
      </c>
      <c r="C28" s="7">
        <f>IF(OR(E28="",F28=""),"",E28*F28/1000)</f>
        <v/>
      </c>
      <c r="D28" s="8">
        <f>IF(C28="","",C28*98)</f>
        <v/>
      </c>
      <c r="E28" s="9" t="n"/>
      <c r="F28" s="9" t="n"/>
      <c r="G28" s="9" t="n"/>
      <c r="H28" s="10">
        <f>IF(OR(C28="",I28=""),"",I28*C28)</f>
        <v/>
      </c>
      <c r="I28" s="11" t="n"/>
      <c r="J28" s="12" t="n"/>
      <c r="K28" s="9" t="n"/>
      <c r="L28" s="13" t="n"/>
      <c r="M28" s="7">
        <f>IF(OR(E28="",F28=""),"",E28*F28/1000)</f>
        <v/>
      </c>
      <c r="N28" s="8">
        <f>IF(M28="","",M28*100*0.98)</f>
        <v/>
      </c>
      <c r="O28" s="12" t="n"/>
    </row>
    <row r="29" ht="18" customHeight="1">
      <c r="B29" s="6">
        <f>IF(E29="","",1+B28)</f>
        <v/>
      </c>
      <c r="C29" s="7">
        <f>IF(OR(E29="",F29=""),"",E29*F29/1000)</f>
        <v/>
      </c>
      <c r="D29" s="8">
        <f>IF(C29="","",C29*98)</f>
        <v/>
      </c>
      <c r="E29" s="9" t="n"/>
      <c r="F29" s="9" t="n"/>
      <c r="G29" s="9" t="n"/>
      <c r="H29" s="10">
        <f>IF(OR(C29="",I29=""),"",I29*C29)</f>
        <v/>
      </c>
      <c r="I29" s="11" t="n"/>
      <c r="J29" s="12" t="n"/>
      <c r="K29" s="9" t="n"/>
      <c r="L29" s="13" t="n"/>
      <c r="M29" s="7">
        <f>IF(OR(E29="",F29=""),"",E29*F29/1000)</f>
        <v/>
      </c>
      <c r="N29" s="8">
        <f>IF(M29="","",M29*100*0.98)</f>
        <v/>
      </c>
      <c r="O29" s="12" t="n"/>
    </row>
    <row r="30" ht="18" customHeight="1">
      <c r="B30" s="6">
        <f>IF(E30="","",1+B29)</f>
        <v/>
      </c>
      <c r="C30" s="7">
        <f>IF(OR(E30="",F30=""),"",E30*F30/1000)</f>
        <v/>
      </c>
      <c r="D30" s="8">
        <f>IF(C30="","",C30*98)</f>
        <v/>
      </c>
      <c r="E30" s="9" t="n"/>
      <c r="F30" s="9" t="n"/>
      <c r="G30" s="9" t="n"/>
      <c r="H30" s="10">
        <f>IF(OR(C30="",I30=""),"",I30*C30)</f>
        <v/>
      </c>
      <c r="I30" s="11" t="n"/>
      <c r="J30" s="12" t="n"/>
      <c r="K30" s="9" t="n"/>
      <c r="L30" s="13" t="n"/>
      <c r="M30" s="7">
        <f>IF(OR(E30="",F30=""),"",E30*F30/1000)</f>
        <v/>
      </c>
      <c r="N30" s="8">
        <f>IF(M30="","",M30*100*0.98)</f>
        <v/>
      </c>
      <c r="O30" s="12" t="n"/>
    </row>
    <row r="31" ht="18" customHeight="1">
      <c r="B31" s="6">
        <f>IF(E31="","",1+B30)</f>
        <v/>
      </c>
      <c r="C31" s="7">
        <f>IF(OR(E31="",F31=""),"",E31*F31/1000)</f>
        <v/>
      </c>
      <c r="D31" s="8">
        <f>IF(C31="","",C31*98)</f>
        <v/>
      </c>
      <c r="E31" s="9" t="n"/>
      <c r="F31" s="9" t="n"/>
      <c r="G31" s="9" t="n"/>
      <c r="H31" s="10">
        <f>IF(OR(C31="",I31=""),"",I31*C31)</f>
        <v/>
      </c>
      <c r="I31" s="11" t="n"/>
      <c r="J31" s="12" t="n"/>
      <c r="K31" s="9" t="n"/>
      <c r="L31" s="13" t="n"/>
      <c r="M31" s="7">
        <f>IF(OR(E31="",F31=""),"",E31*F31/1000)</f>
        <v/>
      </c>
      <c r="N31" s="8">
        <f>IF(M31="","",M31*100*0.98)</f>
        <v/>
      </c>
      <c r="O31" s="12" t="n"/>
    </row>
    <row r="32" ht="18" customHeight="1">
      <c r="B32" s="6">
        <f>IF(E32="","",1+B31)</f>
        <v/>
      </c>
      <c r="C32" s="7">
        <f>IF(OR(E32="",F32=""),"",E32*F32/1000)</f>
        <v/>
      </c>
      <c r="D32" s="8">
        <f>IF(C32="","",C32*98)</f>
        <v/>
      </c>
      <c r="E32" s="9" t="n"/>
      <c r="F32" s="9" t="n"/>
      <c r="G32" s="9" t="n"/>
      <c r="H32" s="10">
        <f>IF(OR(C32="",I32=""),"",I32*C32)</f>
        <v/>
      </c>
      <c r="I32" s="11" t="n"/>
      <c r="J32" s="12" t="n"/>
      <c r="K32" s="9" t="n"/>
      <c r="L32" s="13" t="n"/>
      <c r="M32" s="7">
        <f>IF(OR(E32="",F32=""),"",E32*F32/1000)</f>
        <v/>
      </c>
      <c r="N32" s="8">
        <f>IF(M32="","",M32*100*0.98)</f>
        <v/>
      </c>
      <c r="O32" s="12" t="n"/>
    </row>
    <row r="33" ht="18" customHeight="1">
      <c r="B33" s="6">
        <f>IF(E33="","",1+B32)</f>
        <v/>
      </c>
      <c r="C33" s="7">
        <f>IF(OR(E33="",F33=""),"",E33*F33/1000)</f>
        <v/>
      </c>
      <c r="D33" s="8">
        <f>IF(C33="","",C33*98)</f>
        <v/>
      </c>
      <c r="E33" s="9" t="n"/>
      <c r="F33" s="9" t="n"/>
      <c r="G33" s="9" t="n"/>
      <c r="H33" s="10">
        <f>IF(OR(C33="",I33=""),"",I33*C33)</f>
        <v/>
      </c>
      <c r="I33" s="11" t="n"/>
      <c r="J33" s="12" t="n"/>
      <c r="K33" s="9" t="n"/>
      <c r="L33" s="13" t="n"/>
      <c r="M33" s="7">
        <f>IF(OR(E33="",F33=""),"",E33*F33/1000)</f>
        <v/>
      </c>
      <c r="N33" s="8">
        <f>IF(M33="","",M33*100*0.98)</f>
        <v/>
      </c>
      <c r="O33" s="12" t="n"/>
    </row>
    <row r="34" ht="18" customHeight="1">
      <c r="B34" s="6">
        <f>IF(E34="","",1+B33)</f>
        <v/>
      </c>
      <c r="C34" s="7">
        <f>IF(OR(E34="",F34=""),"",E34*F34/1000)</f>
        <v/>
      </c>
      <c r="D34" s="8">
        <f>IF(C34="","",C34*98)</f>
        <v/>
      </c>
      <c r="E34" s="9" t="n"/>
      <c r="F34" s="9" t="n"/>
      <c r="G34" s="9" t="n"/>
      <c r="H34" s="10">
        <f>IF(OR(C34="",I34=""),"",I34*C34)</f>
        <v/>
      </c>
      <c r="I34" s="11" t="n"/>
      <c r="J34" s="12" t="n"/>
      <c r="K34" s="9" t="n"/>
      <c r="L34" s="13" t="n"/>
      <c r="M34" s="7">
        <f>IF(OR(E34="",F34=""),"",E34*F34/1000)</f>
        <v/>
      </c>
      <c r="N34" s="8">
        <f>IF(M34="","",M34*100*0.98)</f>
        <v/>
      </c>
      <c r="O34" s="12" t="n"/>
    </row>
    <row r="35" ht="18" customHeight="1">
      <c r="B35" s="6">
        <f>IF(E35="","",1+B34)</f>
        <v/>
      </c>
      <c r="C35" s="7">
        <f>IF(OR(E35="",F35=""),"",E35*F35/1000)</f>
        <v/>
      </c>
      <c r="D35" s="8">
        <f>IF(C35="","",C35*98)</f>
        <v/>
      </c>
      <c r="E35" s="9" t="n"/>
      <c r="F35" s="9" t="n"/>
      <c r="G35" s="9" t="n"/>
      <c r="H35" s="10">
        <f>IF(OR(C35="",I35=""),"",I35*C35)</f>
        <v/>
      </c>
      <c r="I35" s="11" t="n"/>
      <c r="J35" s="12" t="n"/>
      <c r="K35" s="9" t="n"/>
      <c r="L35" s="13" t="n"/>
      <c r="M35" s="7">
        <f>IF(OR(E35="",F35=""),"",E35*F35/1000)</f>
        <v/>
      </c>
      <c r="N35" s="8">
        <f>IF(M35="","",M35*100*0.98)</f>
        <v/>
      </c>
      <c r="O35" s="12" t="n"/>
    </row>
    <row r="36" ht="18" customHeight="1">
      <c r="B36" s="6">
        <f>IF(E36="","",1+B35)</f>
        <v/>
      </c>
      <c r="C36" s="7">
        <f>IF(OR(E36="",F36=""),"",E36*F36/1000)</f>
        <v/>
      </c>
      <c r="D36" s="8">
        <f>IF(C36="","",C36*98)</f>
        <v/>
      </c>
      <c r="E36" s="9" t="n"/>
      <c r="F36" s="9" t="n"/>
      <c r="G36" s="9" t="n"/>
      <c r="H36" s="10">
        <f>IF(OR(C36="",I36=""),"",I36*C36)</f>
        <v/>
      </c>
      <c r="I36" s="11" t="n"/>
      <c r="J36" s="12" t="n"/>
      <c r="K36" s="9" t="n"/>
      <c r="L36" s="13" t="n"/>
      <c r="M36" s="7">
        <f>IF(OR(E36="",F36=""),"",E36*F36/1000)</f>
        <v/>
      </c>
      <c r="N36" s="8">
        <f>IF(M36="","",M36*100*0.98)</f>
        <v/>
      </c>
      <c r="O36" s="12" t="n"/>
    </row>
    <row r="37" ht="18" customHeight="1">
      <c r="B37" s="6">
        <f>IF(E37="","",1+B36)</f>
        <v/>
      </c>
      <c r="C37" s="7">
        <f>IF(OR(E37="",F37=""),"",E37*F37/1000)</f>
        <v/>
      </c>
      <c r="D37" s="8">
        <f>IF(C37="","",C37*98)</f>
        <v/>
      </c>
      <c r="E37" s="9" t="n"/>
      <c r="F37" s="9" t="n"/>
      <c r="G37" s="9" t="n"/>
      <c r="H37" s="10">
        <f>IF(OR(C37="",I37=""),"",I37*C37)</f>
        <v/>
      </c>
      <c r="I37" s="11" t="n"/>
      <c r="J37" s="12" t="n"/>
      <c r="K37" s="9" t="n"/>
      <c r="L37" s="13" t="n"/>
      <c r="M37" s="7">
        <f>IF(OR(E37="",F37=""),"",E37*F37/1000)</f>
        <v/>
      </c>
      <c r="N37" s="8">
        <f>IF(M37="","",M37*100*0.98)</f>
        <v/>
      </c>
      <c r="O37" s="12" t="n"/>
    </row>
    <row r="38" ht="18" customHeight="1">
      <c r="B38" s="6">
        <f>IF(E38="","",1+B37)</f>
        <v/>
      </c>
      <c r="C38" s="7">
        <f>IF(OR(E38="",F38=""),"",E38*F38/1000)</f>
        <v/>
      </c>
      <c r="D38" s="8">
        <f>IF(C38="","",C38*98)</f>
        <v/>
      </c>
      <c r="E38" s="9" t="n"/>
      <c r="F38" s="9" t="n"/>
      <c r="G38" s="9" t="n"/>
      <c r="H38" s="10">
        <f>IF(OR(C38="",I38=""),"",I38*C38)</f>
        <v/>
      </c>
      <c r="I38" s="11" t="n"/>
      <c r="J38" s="12" t="n"/>
      <c r="K38" s="9" t="n"/>
      <c r="L38" s="13" t="n"/>
      <c r="M38" s="7">
        <f>IF(OR(E38="",F38=""),"",E38*F38/1000)</f>
        <v/>
      </c>
      <c r="N38" s="8">
        <f>IF(M38="","",M38*100*0.98)</f>
        <v/>
      </c>
      <c r="O38" s="12" t="n"/>
    </row>
    <row r="39" ht="18" customHeight="1">
      <c r="B39" s="6">
        <f>IF(E39="","",1+B38)</f>
        <v/>
      </c>
      <c r="C39" s="7">
        <f>IF(OR(E39="",F39=""),"",E39*F39/1000)</f>
        <v/>
      </c>
      <c r="D39" s="8">
        <f>IF(C39="","",C39*98)</f>
        <v/>
      </c>
      <c r="E39" s="9" t="n"/>
      <c r="F39" s="9" t="n"/>
      <c r="G39" s="9" t="n"/>
      <c r="H39" s="10">
        <f>IF(OR(C39="",I39=""),"",I39*C39)</f>
        <v/>
      </c>
      <c r="I39" s="11" t="n"/>
      <c r="J39" s="12" t="n"/>
      <c r="K39" s="9" t="n"/>
      <c r="L39" s="13" t="n"/>
      <c r="M39" s="7">
        <f>IF(OR(E39="",F39=""),"",E39*F39/1000)</f>
        <v/>
      </c>
      <c r="N39" s="8">
        <f>IF(M39="","",M39*100*0.98)</f>
        <v/>
      </c>
      <c r="O39" s="12" t="n"/>
    </row>
    <row r="40" ht="18" customHeight="1">
      <c r="B40" s="6">
        <f>IF(E40="","",1+B39)</f>
        <v/>
      </c>
      <c r="C40" s="7">
        <f>IF(OR(E40="",F40=""),"",E40*F40/1000)</f>
        <v/>
      </c>
      <c r="D40" s="8">
        <f>IF(C40="","",C40*98)</f>
        <v/>
      </c>
      <c r="E40" s="9" t="n"/>
      <c r="F40" s="9" t="n"/>
      <c r="G40" s="9" t="n"/>
      <c r="H40" s="10">
        <f>IF(OR(C40="",I40=""),"",I40*C40)</f>
        <v/>
      </c>
      <c r="I40" s="11" t="n"/>
      <c r="J40" s="12" t="n"/>
      <c r="K40" s="9" t="n"/>
      <c r="L40" s="13" t="n"/>
      <c r="M40" s="7">
        <f>IF(OR(E40="",F40=""),"",E40*F40/1000)</f>
        <v/>
      </c>
      <c r="N40" s="8">
        <f>IF(M40="","",M40*100*0.98)</f>
        <v/>
      </c>
      <c r="O40" s="12" t="n"/>
    </row>
    <row r="41" ht="18" customHeight="1">
      <c r="B41" s="6">
        <f>IF(E41="","",1+B40)</f>
        <v/>
      </c>
      <c r="C41" s="7">
        <f>IF(OR(E41="",F41=""),"",E41*F41/1000)</f>
        <v/>
      </c>
      <c r="D41" s="8">
        <f>IF(C41="","",C41*98)</f>
        <v/>
      </c>
      <c r="E41" s="9" t="n"/>
      <c r="F41" s="9" t="n"/>
      <c r="G41" s="9" t="n"/>
      <c r="H41" s="10">
        <f>IF(OR(C41="",I41=""),"",I41*C41)</f>
        <v/>
      </c>
      <c r="I41" s="11" t="n"/>
      <c r="J41" s="12" t="n"/>
      <c r="K41" s="9" t="n"/>
      <c r="L41" s="13" t="n"/>
      <c r="M41" s="7">
        <f>IF(OR(E41="",F41=""),"",E41*F41/1000)</f>
        <v/>
      </c>
      <c r="N41" s="8">
        <f>IF(M41="","",M41*100*0.98)</f>
        <v/>
      </c>
      <c r="O41" s="12" t="n"/>
    </row>
    <row r="42" ht="18" customHeight="1">
      <c r="B42" s="6">
        <f>IF(E42="","",1+B41)</f>
        <v/>
      </c>
      <c r="C42" s="7">
        <f>IF(OR(E42="",F42=""),"",E42*F42/1000)</f>
        <v/>
      </c>
      <c r="D42" s="8">
        <f>IF(C42="","",C42*98)</f>
        <v/>
      </c>
      <c r="E42" s="9" t="n"/>
      <c r="F42" s="9" t="n"/>
      <c r="G42" s="9" t="n"/>
      <c r="H42" s="10">
        <f>IF(OR(C42="",I42=""),"",I42*C42)</f>
        <v/>
      </c>
      <c r="I42" s="11" t="n"/>
      <c r="J42" s="12" t="n"/>
      <c r="K42" s="9" t="n"/>
      <c r="L42" s="13" t="n"/>
      <c r="M42" s="7">
        <f>IF(OR(E42="",F42=""),"",E42*F42/1000)</f>
        <v/>
      </c>
      <c r="N42" s="8">
        <f>IF(M42="","",M42*100*0.98)</f>
        <v/>
      </c>
      <c r="O42" s="12" t="n"/>
    </row>
    <row r="43" ht="18" customHeight="1">
      <c r="B43" s="6">
        <f>IF(E43="","",1+B42)</f>
        <v/>
      </c>
      <c r="C43" s="7">
        <f>IF(OR(E43="",F43=""),"",E43*F43/1000)</f>
        <v/>
      </c>
      <c r="D43" s="8">
        <f>IF(C43="","",C43*98)</f>
        <v/>
      </c>
      <c r="E43" s="9" t="n"/>
      <c r="F43" s="9" t="n"/>
      <c r="G43" s="9" t="n"/>
      <c r="H43" s="10">
        <f>IF(OR(C43="",I43=""),"",I43*C43)</f>
        <v/>
      </c>
      <c r="I43" s="11" t="n"/>
      <c r="J43" s="12" t="n"/>
      <c r="K43" s="9" t="n"/>
      <c r="L43" s="13" t="n"/>
      <c r="M43" s="7">
        <f>IF(OR(E43="",F43=""),"",E43*F43/1000)</f>
        <v/>
      </c>
      <c r="N43" s="8">
        <f>IF(M43="","",M43*100*0.98)</f>
        <v/>
      </c>
      <c r="O43" s="12" t="n"/>
    </row>
    <row r="44" ht="18" customHeight="1">
      <c r="B44" s="6">
        <f>IF(E44="","",1+B43)</f>
        <v/>
      </c>
      <c r="C44" s="7">
        <f>IF(OR(E44="",F44=""),"",E44*F44/1000)</f>
        <v/>
      </c>
      <c r="D44" s="8">
        <f>IF(C44="","",C44*98)</f>
        <v/>
      </c>
      <c r="E44" s="9" t="n"/>
      <c r="F44" s="9" t="n"/>
      <c r="G44" s="9" t="n"/>
      <c r="H44" s="10">
        <f>IF(OR(C44="",I44=""),"",I44*C44)</f>
        <v/>
      </c>
      <c r="I44" s="11" t="n"/>
      <c r="J44" s="12" t="n"/>
      <c r="K44" s="9" t="n"/>
      <c r="L44" s="13" t="n"/>
      <c r="M44" s="7">
        <f>IF(OR(E44="",F44=""),"",E44*F44/1000)</f>
        <v/>
      </c>
      <c r="N44" s="8">
        <f>IF(M44="","",M44*100*0.98)</f>
        <v/>
      </c>
      <c r="O44" s="12" t="n"/>
    </row>
    <row r="45" ht="18" customHeight="1">
      <c r="B45" s="6">
        <f>IF(E45="","",1+B44)</f>
        <v/>
      </c>
      <c r="C45" s="7">
        <f>IF(OR(E45="",F45=""),"",E45*F45/1000)</f>
        <v/>
      </c>
      <c r="D45" s="8">
        <f>IF(C45="","",C45*98)</f>
        <v/>
      </c>
      <c r="E45" s="9" t="n"/>
      <c r="F45" s="9" t="n"/>
      <c r="G45" s="9" t="n"/>
      <c r="H45" s="10">
        <f>IF(OR(C45="",I45=""),"",I45*C45)</f>
        <v/>
      </c>
      <c r="I45" s="11" t="n"/>
      <c r="J45" s="12" t="n"/>
      <c r="K45" s="9" t="n"/>
      <c r="L45" s="13" t="n"/>
      <c r="M45" s="7">
        <f>IF(OR(E45="",F45=""),"",E45*F45/1000)</f>
        <v/>
      </c>
      <c r="N45" s="8">
        <f>IF(M45="","",M45*100*0.98)</f>
        <v/>
      </c>
      <c r="O45" s="12" t="n"/>
    </row>
    <row r="46" ht="18" customHeight="1">
      <c r="B46" s="6">
        <f>IF(E46="","",1+B45)</f>
        <v/>
      </c>
      <c r="C46" s="7">
        <f>IF(OR(E46="",F46=""),"",E46*F46/1000)</f>
        <v/>
      </c>
      <c r="D46" s="8">
        <f>IF(C46="","",C46*98)</f>
        <v/>
      </c>
      <c r="E46" s="9" t="n"/>
      <c r="F46" s="9" t="n"/>
      <c r="G46" s="9" t="n"/>
      <c r="H46" s="10">
        <f>IF(OR(C46="",I46=""),"",I46*C46)</f>
        <v/>
      </c>
      <c r="I46" s="11" t="n"/>
      <c r="J46" s="12" t="n"/>
      <c r="K46" s="9" t="n"/>
      <c r="L46" s="13" t="n"/>
      <c r="M46" s="7">
        <f>IF(OR(E46="",F46=""),"",E46*F46/1000)</f>
        <v/>
      </c>
      <c r="N46" s="8">
        <f>IF(M46="","",M46*100*0.98)</f>
        <v/>
      </c>
      <c r="O46" s="12" t="n"/>
    </row>
    <row r="47" ht="18" customHeight="1">
      <c r="B47" s="6">
        <f>IF(E47="","",1+B46)</f>
        <v/>
      </c>
      <c r="C47" s="7">
        <f>IF(OR(E47="",F47=""),"",E47*F47/1000)</f>
        <v/>
      </c>
      <c r="D47" s="8">
        <f>IF(C47="","",C47*98)</f>
        <v/>
      </c>
      <c r="E47" s="9" t="n"/>
      <c r="F47" s="9" t="n"/>
      <c r="G47" s="9" t="n"/>
      <c r="H47" s="10">
        <f>IF(OR(C47="",I47=""),"",I47*C47)</f>
        <v/>
      </c>
      <c r="I47" s="11" t="n"/>
      <c r="J47" s="12" t="n"/>
      <c r="K47" s="9" t="n"/>
      <c r="L47" s="13" t="n"/>
      <c r="M47" s="7">
        <f>IF(OR(E47="",F47=""),"",E47*F47/1000)</f>
        <v/>
      </c>
      <c r="N47" s="8">
        <f>IF(M47="","",M47*100*0.98)</f>
        <v/>
      </c>
      <c r="O47" s="12" t="n"/>
    </row>
    <row r="48" ht="18" customHeight="1">
      <c r="B48" s="6">
        <f>IF(E48="","",1+B47)</f>
        <v/>
      </c>
      <c r="C48" s="7">
        <f>IF(OR(E48="",F48=""),"",E48*F48/1000)</f>
        <v/>
      </c>
      <c r="D48" s="8">
        <f>IF(C48="","",C48*98)</f>
        <v/>
      </c>
      <c r="E48" s="9" t="n"/>
      <c r="F48" s="9" t="n"/>
      <c r="G48" s="9" t="n"/>
      <c r="H48" s="10">
        <f>IF(OR(C48="",I48=""),"",I48*C48)</f>
        <v/>
      </c>
      <c r="I48" s="11" t="n"/>
      <c r="J48" s="12" t="n"/>
      <c r="K48" s="9" t="n"/>
      <c r="L48" s="13" t="n"/>
      <c r="M48" s="7">
        <f>IF(OR(E48="",F48=""),"",E48*F48/1000)</f>
        <v/>
      </c>
      <c r="N48" s="8">
        <f>IF(M48="","",M48*100*0.98)</f>
        <v/>
      </c>
      <c r="O48" s="12" t="n"/>
    </row>
    <row r="49" ht="18" customHeight="1">
      <c r="B49" s="6">
        <f>IF(E49="","",1+B48)</f>
        <v/>
      </c>
      <c r="C49" s="7">
        <f>IF(OR(E49="",F49=""),"",E49*F49/1000)</f>
        <v/>
      </c>
      <c r="D49" s="8">
        <f>IF(C49="","",C49*98)</f>
        <v/>
      </c>
      <c r="E49" s="9" t="n"/>
      <c r="F49" s="9" t="n"/>
      <c r="G49" s="9" t="n"/>
      <c r="H49" s="10">
        <f>IF(OR(C49="",I49=""),"",I49*C49)</f>
        <v/>
      </c>
      <c r="I49" s="11" t="n"/>
      <c r="J49" s="12" t="n"/>
      <c r="K49" s="9" t="n"/>
      <c r="L49" s="13" t="n"/>
      <c r="M49" s="7">
        <f>IF(OR(E49="",F49=""),"",E49*F49/1000)</f>
        <v/>
      </c>
      <c r="N49" s="8">
        <f>IF(M49="","",M49*100*0.98)</f>
        <v/>
      </c>
      <c r="O49" s="12" t="n"/>
    </row>
    <row r="50" ht="18" customHeight="1">
      <c r="B50" s="6">
        <f>IF(E50="","",1+B49)</f>
        <v/>
      </c>
      <c r="C50" s="7">
        <f>IF(OR(E50="",F50=""),"",E50*F50/1000)</f>
        <v/>
      </c>
      <c r="D50" s="8">
        <f>IF(C50="","",C50*98)</f>
        <v/>
      </c>
      <c r="E50" s="9" t="n"/>
      <c r="F50" s="9" t="n"/>
      <c r="G50" s="9" t="n"/>
      <c r="H50" s="10">
        <f>IF(OR(C50="",I50=""),"",I50*C50)</f>
        <v/>
      </c>
      <c r="I50" s="11" t="n"/>
      <c r="J50" s="12" t="n"/>
      <c r="K50" s="9" t="n"/>
      <c r="L50" s="13" t="n"/>
      <c r="M50" s="7">
        <f>IF(OR(E50="",F50=""),"",E50*F50/1000)</f>
        <v/>
      </c>
      <c r="N50" s="8">
        <f>IF(M50="","",M50*100*0.98)</f>
        <v/>
      </c>
      <c r="O50" s="12" t="n"/>
    </row>
    <row r="51" ht="18" customHeight="1">
      <c r="B51" s="6">
        <f>IF(E51="","",1+B50)</f>
        <v/>
      </c>
      <c r="C51" s="7">
        <f>IF(OR(E51="",F51=""),"",E51*F51/1000)</f>
        <v/>
      </c>
      <c r="D51" s="8">
        <f>IF(C51="","",C51*98)</f>
        <v/>
      </c>
      <c r="E51" s="9" t="n"/>
      <c r="F51" s="9" t="n"/>
      <c r="G51" s="9" t="n"/>
      <c r="H51" s="10">
        <f>IF(OR(C51="",I51=""),"",I51*C51)</f>
        <v/>
      </c>
      <c r="I51" s="11" t="n"/>
      <c r="J51" s="12" t="n"/>
      <c r="K51" s="9" t="n"/>
      <c r="L51" s="13" t="n"/>
      <c r="M51" s="7">
        <f>IF(OR(E51="",F51=""),"",E51*F51/1000)</f>
        <v/>
      </c>
      <c r="N51" s="8">
        <f>IF(M51="","",M51*100*0.98)</f>
        <v/>
      </c>
      <c r="O51" s="12" t="n"/>
    </row>
    <row r="52" ht="18" customHeight="1">
      <c r="B52" s="6">
        <f>IF(E52="","",1+B51)</f>
        <v/>
      </c>
      <c r="C52" s="7">
        <f>IF(OR(E52="",F52=""),"",E52*F52/1000)</f>
        <v/>
      </c>
      <c r="D52" s="8">
        <f>IF(C52="","",C52*98)</f>
        <v/>
      </c>
      <c r="E52" s="9" t="n"/>
      <c r="F52" s="9" t="n"/>
      <c r="G52" s="9" t="n"/>
      <c r="H52" s="10">
        <f>IF(OR(C52="",I52=""),"",I52*C52)</f>
        <v/>
      </c>
      <c r="I52" s="11" t="n"/>
      <c r="J52" s="12" t="n"/>
      <c r="K52" s="9" t="n"/>
      <c r="L52" s="13" t="n"/>
      <c r="M52" s="7">
        <f>IF(OR(E52="",F52=""),"",E52*F52/1000)</f>
        <v/>
      </c>
      <c r="N52" s="8">
        <f>IF(M52="","",M52*100*0.98)</f>
        <v/>
      </c>
      <c r="O52" s="12" t="n"/>
    </row>
    <row r="53" ht="18" customHeight="1">
      <c r="B53" s="6">
        <f>IF(E53="","",1+B52)</f>
        <v/>
      </c>
      <c r="C53" s="7">
        <f>IF(OR(E53="",F53=""),"",E53*F53/1000)</f>
        <v/>
      </c>
      <c r="D53" s="8">
        <f>IF(C53="","",C53*98)</f>
        <v/>
      </c>
      <c r="E53" s="9" t="n"/>
      <c r="F53" s="9" t="n"/>
      <c r="G53" s="9" t="n"/>
      <c r="H53" s="10">
        <f>IF(OR(C53="",I53=""),"",I53*C53)</f>
        <v/>
      </c>
      <c r="I53" s="11" t="n"/>
      <c r="J53" s="12" t="n"/>
      <c r="K53" s="9" t="n"/>
      <c r="L53" s="13" t="n"/>
      <c r="M53" s="7">
        <f>IF(OR(E53="",F53=""),"",E53*F53/1000)</f>
        <v/>
      </c>
      <c r="N53" s="8">
        <f>IF(M53="","",M53*100*0.98)</f>
        <v/>
      </c>
      <c r="O53" s="12" t="n"/>
    </row>
    <row r="54" ht="18" customHeight="1">
      <c r="B54" s="6">
        <f>IF(E54="","",1+B53)</f>
        <v/>
      </c>
      <c r="C54" s="7">
        <f>IF(OR(E54="",F54=""),"",E54*F54/1000)</f>
        <v/>
      </c>
      <c r="D54" s="8">
        <f>IF(C54="","",C54*98)</f>
        <v/>
      </c>
      <c r="E54" s="9" t="n"/>
      <c r="F54" s="9" t="n"/>
      <c r="G54" s="9" t="n"/>
      <c r="H54" s="10">
        <f>IF(OR(C54="",I54=""),"",I54*C54)</f>
        <v/>
      </c>
      <c r="I54" s="11" t="n"/>
      <c r="J54" s="12" t="n"/>
      <c r="K54" s="9" t="n"/>
      <c r="L54" s="13" t="n"/>
      <c r="M54" s="7">
        <f>IF(OR(E54="",F54=""),"",E54*F54/1000)</f>
        <v/>
      </c>
      <c r="N54" s="8">
        <f>IF(M54="","",M54*100*0.98)</f>
        <v/>
      </c>
      <c r="O54" s="12" t="n"/>
    </row>
    <row r="55" ht="18" customHeight="1">
      <c r="B55" s="6">
        <f>IF(E55="","",1+B54)</f>
        <v/>
      </c>
      <c r="C55" s="7">
        <f>IF(OR(E55="",F55=""),"",E55*F55/1000)</f>
        <v/>
      </c>
      <c r="D55" s="8">
        <f>IF(C55="","",C55*98)</f>
        <v/>
      </c>
      <c r="E55" s="9" t="n"/>
      <c r="F55" s="9" t="n"/>
      <c r="G55" s="9" t="n"/>
      <c r="H55" s="10">
        <f>IF(OR(C55="",I55=""),"",I55*C55)</f>
        <v/>
      </c>
      <c r="I55" s="11" t="n"/>
      <c r="J55" s="12" t="n"/>
      <c r="K55" s="9" t="n"/>
      <c r="L55" s="13" t="n"/>
      <c r="M55" s="7">
        <f>IF(OR(E55="",F55=""),"",E55*F55/1000)</f>
        <v/>
      </c>
      <c r="N55" s="8">
        <f>IF(M55="","",M55*100*0.98)</f>
        <v/>
      </c>
      <c r="O55" s="12" t="n"/>
    </row>
    <row r="56" ht="18" customHeight="1">
      <c r="B56" s="6">
        <f>IF(E56="","",1+B55)</f>
        <v/>
      </c>
      <c r="C56" s="7">
        <f>IF(OR(E56="",F56=""),"",E56*F56/1000)</f>
        <v/>
      </c>
      <c r="D56" s="8">
        <f>IF(C56="","",C56*98)</f>
        <v/>
      </c>
      <c r="E56" s="9" t="n"/>
      <c r="F56" s="9" t="n"/>
      <c r="G56" s="9" t="n"/>
      <c r="H56" s="10">
        <f>IF(OR(C56="",I56=""),"",I56*C56)</f>
        <v/>
      </c>
      <c r="I56" s="11" t="n"/>
      <c r="J56" s="12" t="n"/>
      <c r="K56" s="9" t="n"/>
      <c r="L56" s="13" t="n"/>
      <c r="M56" s="7">
        <f>IF(OR(E56="",F56=""),"",E56*F56/1000)</f>
        <v/>
      </c>
      <c r="N56" s="8">
        <f>IF(M56="","",M56*100*0.98)</f>
        <v/>
      </c>
      <c r="O56" s="12" t="n"/>
    </row>
    <row r="57" ht="18" customHeight="1">
      <c r="B57" s="6">
        <f>IF(E57="","",1+B56)</f>
        <v/>
      </c>
      <c r="C57" s="7">
        <f>IF(OR(E57="",F57=""),"",E57*F57/1000)</f>
        <v/>
      </c>
      <c r="D57" s="8">
        <f>IF(C57="","",C57*98)</f>
        <v/>
      </c>
      <c r="E57" s="9" t="n"/>
      <c r="F57" s="9" t="n"/>
      <c r="G57" s="9" t="n"/>
      <c r="H57" s="10">
        <f>IF(OR(C57="",I57=""),"",I57*C57)</f>
        <v/>
      </c>
      <c r="I57" s="11" t="n"/>
      <c r="J57" s="12" t="n"/>
      <c r="K57" s="9" t="n"/>
      <c r="L57" s="13" t="n"/>
      <c r="M57" s="7">
        <f>IF(OR(E57="",F57=""),"",E57*F57/1000)</f>
        <v/>
      </c>
      <c r="N57" s="8">
        <f>IF(M57="","",M57*100*0.98)</f>
        <v/>
      </c>
      <c r="O57" s="12" t="n"/>
    </row>
    <row r="58" ht="18" customHeight="1">
      <c r="B58" s="6">
        <f>IF(E58="","",1+B57)</f>
        <v/>
      </c>
      <c r="C58" s="7">
        <f>IF(OR(E58="",F58=""),"",E58*F58/1000)</f>
        <v/>
      </c>
      <c r="D58" s="8">
        <f>IF(C58="","",C58*98)</f>
        <v/>
      </c>
      <c r="E58" s="9" t="n"/>
      <c r="F58" s="9" t="n"/>
      <c r="G58" s="9" t="n"/>
      <c r="H58" s="10">
        <f>IF(OR(C58="",I58=""),"",I58*C58)</f>
        <v/>
      </c>
      <c r="I58" s="11" t="n"/>
      <c r="J58" s="12" t="n"/>
      <c r="K58" s="9" t="n"/>
      <c r="L58" s="13" t="n"/>
      <c r="M58" s="7">
        <f>IF(OR(E58="",F58=""),"",E58*F58/1000)</f>
        <v/>
      </c>
      <c r="N58" s="8">
        <f>IF(M58="","",M58*100*0.98)</f>
        <v/>
      </c>
      <c r="O58" s="12" t="n"/>
    </row>
    <row r="59" ht="18" customHeight="1">
      <c r="B59" s="6">
        <f>IF(E59="","",1+B58)</f>
        <v/>
      </c>
      <c r="C59" s="7">
        <f>IF(OR(E59="",F59=""),"",E59*F59/1000)</f>
        <v/>
      </c>
      <c r="D59" s="8">
        <f>IF(C59="","",C59*98)</f>
        <v/>
      </c>
      <c r="E59" s="9" t="n"/>
      <c r="F59" s="9" t="n"/>
      <c r="G59" s="9" t="n"/>
      <c r="H59" s="10">
        <f>IF(OR(C59="",I59=""),"",I59*C59)</f>
        <v/>
      </c>
      <c r="I59" s="11" t="n"/>
      <c r="J59" s="12" t="n"/>
      <c r="K59" s="9" t="n"/>
      <c r="L59" s="13" t="n"/>
      <c r="M59" s="7">
        <f>IF(OR(E59="",F59=""),"",E59*F59/1000)</f>
        <v/>
      </c>
      <c r="N59" s="8">
        <f>IF(M59="","",M59*100*0.98)</f>
        <v/>
      </c>
      <c r="O59" s="12" t="n"/>
    </row>
    <row r="60" ht="18" customHeight="1">
      <c r="B60" s="6">
        <f>IF(E60="","",1+B59)</f>
        <v/>
      </c>
      <c r="C60" s="7">
        <f>IF(OR(E60="",F60=""),"",E60*F60/1000)</f>
        <v/>
      </c>
      <c r="D60" s="8">
        <f>IF(C60="","",C60*98)</f>
        <v/>
      </c>
      <c r="E60" s="9" t="n"/>
      <c r="F60" s="9" t="n"/>
      <c r="G60" s="9" t="n"/>
      <c r="H60" s="10">
        <f>IF(OR(C60="",I60=""),"",I60*C60)</f>
        <v/>
      </c>
      <c r="I60" s="11" t="n"/>
      <c r="J60" s="12" t="n"/>
      <c r="K60" s="9" t="n"/>
      <c r="L60" s="13" t="n"/>
      <c r="M60" s="7">
        <f>IF(OR(E60="",F60=""),"",E60*F60/1000)</f>
        <v/>
      </c>
      <c r="N60" s="8">
        <f>IF(M60="","",M60*100*0.98)</f>
        <v/>
      </c>
      <c r="O60" s="12" t="n"/>
    </row>
    <row r="61" ht="18" customHeight="1">
      <c r="B61" s="6">
        <f>IF(E61="","",1+B60)</f>
        <v/>
      </c>
      <c r="C61" s="7">
        <f>IF(OR(E61="",F61=""),"",E61*F61/1000)</f>
        <v/>
      </c>
      <c r="D61" s="8">
        <f>IF(C61="","",C61*98)</f>
        <v/>
      </c>
      <c r="E61" s="9" t="n"/>
      <c r="F61" s="9" t="n"/>
      <c r="G61" s="9" t="n"/>
      <c r="H61" s="10">
        <f>IF(OR(C61="",I61=""),"",I61*C61)</f>
        <v/>
      </c>
      <c r="I61" s="11" t="n"/>
      <c r="J61" s="12" t="n"/>
      <c r="K61" s="9" t="n"/>
      <c r="L61" s="13" t="n"/>
      <c r="M61" s="7">
        <f>IF(OR(E61="",F61=""),"",E61*F61/1000)</f>
        <v/>
      </c>
      <c r="N61" s="8">
        <f>IF(M61="","",M61*100*0.98)</f>
        <v/>
      </c>
      <c r="O61" s="12" t="n"/>
    </row>
    <row r="62" ht="18" customHeight="1">
      <c r="B62" s="6">
        <f>IF(E62="","",1+B61)</f>
        <v/>
      </c>
      <c r="C62" s="7">
        <f>IF(OR(E62="",F62=""),"",E62*F62/1000)</f>
        <v/>
      </c>
      <c r="D62" s="8">
        <f>IF(C62="","",C62*98)</f>
        <v/>
      </c>
      <c r="E62" s="9" t="n"/>
      <c r="F62" s="9" t="n"/>
      <c r="G62" s="9" t="n"/>
      <c r="H62" s="10">
        <f>IF(OR(C62="",I62=""),"",I62*C62)</f>
        <v/>
      </c>
      <c r="I62" s="11" t="n"/>
      <c r="J62" s="12" t="n"/>
      <c r="K62" s="9" t="n"/>
      <c r="L62" s="13" t="n"/>
      <c r="M62" s="7">
        <f>IF(OR(E62="",F62=""),"",E62*F62/1000)</f>
        <v/>
      </c>
      <c r="N62" s="8">
        <f>IF(M62="","",M62*100*0.98)</f>
        <v/>
      </c>
      <c r="O62" s="12" t="n"/>
    </row>
    <row r="63" ht="18" customHeight="1">
      <c r="B63" s="6">
        <f>IF(E63="","",1+B62)</f>
        <v/>
      </c>
      <c r="C63" s="7">
        <f>IF(OR(E63="",F63=""),"",E63*F63/1000)</f>
        <v/>
      </c>
      <c r="D63" s="8">
        <f>IF(C63="","",C63*98)</f>
        <v/>
      </c>
      <c r="E63" s="9" t="n"/>
      <c r="F63" s="9" t="n"/>
      <c r="G63" s="9" t="n"/>
      <c r="H63" s="10">
        <f>IF(OR(C63="",I63=""),"",I63*C63)</f>
        <v/>
      </c>
      <c r="I63" s="11" t="n"/>
      <c r="J63" s="12" t="n"/>
      <c r="K63" s="9" t="n"/>
      <c r="L63" s="13" t="n"/>
      <c r="M63" s="7">
        <f>IF(OR(E63="",F63=""),"",E63*F63/1000)</f>
        <v/>
      </c>
      <c r="N63" s="8">
        <f>IF(M63="","",M63*100*0.98)</f>
        <v/>
      </c>
      <c r="O63" s="12" t="n"/>
    </row>
    <row r="64" ht="18" customHeight="1">
      <c r="B64" s="6">
        <f>IF(E64="","",1+B63)</f>
        <v/>
      </c>
      <c r="C64" s="7">
        <f>IF(OR(E64="",F64=""),"",E64*F64/1000)</f>
        <v/>
      </c>
      <c r="D64" s="8">
        <f>IF(C64="","",C64*98)</f>
        <v/>
      </c>
      <c r="E64" s="9" t="n"/>
      <c r="F64" s="9" t="n"/>
      <c r="G64" s="9" t="n"/>
      <c r="H64" s="10">
        <f>IF(OR(C64="",I64=""),"",I64*C64)</f>
        <v/>
      </c>
      <c r="I64" s="11" t="n"/>
      <c r="J64" s="12" t="n"/>
      <c r="K64" s="9" t="n"/>
      <c r="L64" s="13" t="n"/>
      <c r="M64" s="7">
        <f>IF(OR(E64="",F64=""),"",E64*F64/1000)</f>
        <v/>
      </c>
      <c r="N64" s="8">
        <f>IF(M64="","",M64*100*0.98)</f>
        <v/>
      </c>
      <c r="O64" s="12" t="n"/>
    </row>
    <row r="65" ht="18" customHeight="1">
      <c r="B65" s="6">
        <f>IF(E65="","",1+B64)</f>
        <v/>
      </c>
      <c r="C65" s="7">
        <f>IF(OR(E65="",F65=""),"",E65*F65/1000)</f>
        <v/>
      </c>
      <c r="D65" s="8">
        <f>IF(C65="","",C65*98)</f>
        <v/>
      </c>
      <c r="E65" s="9" t="n"/>
      <c r="F65" s="9" t="n"/>
      <c r="G65" s="9" t="n"/>
      <c r="H65" s="10">
        <f>IF(OR(C65="",I65=""),"",I65*C65)</f>
        <v/>
      </c>
      <c r="I65" s="11" t="n"/>
      <c r="J65" s="12" t="n"/>
      <c r="K65" s="9" t="n"/>
      <c r="L65" s="13" t="n"/>
      <c r="M65" s="7">
        <f>IF(OR(E65="",F65=""),"",E65*F65/1000)</f>
        <v/>
      </c>
      <c r="N65" s="8">
        <f>IF(M65="","",M65*100*0.98)</f>
        <v/>
      </c>
      <c r="O65" s="12" t="n"/>
    </row>
    <row r="66" ht="18" customHeight="1">
      <c r="B66" s="6">
        <f>IF(E66="","",1+B65)</f>
        <v/>
      </c>
      <c r="C66" s="7">
        <f>IF(OR(E66="",F66=""),"",E66*F66/1000)</f>
        <v/>
      </c>
      <c r="D66" s="8">
        <f>IF(C66="","",C66*98)</f>
        <v/>
      </c>
      <c r="E66" s="9" t="n"/>
      <c r="F66" s="9" t="n"/>
      <c r="G66" s="9" t="n"/>
      <c r="H66" s="10">
        <f>IF(OR(C66="",I66=""),"",I66*C66)</f>
        <v/>
      </c>
      <c r="I66" s="11" t="n"/>
      <c r="J66" s="12" t="n"/>
      <c r="K66" s="9" t="n"/>
      <c r="L66" s="13" t="n"/>
      <c r="M66" s="7">
        <f>IF(OR(E66="",F66=""),"",E66*F66/1000)</f>
        <v/>
      </c>
      <c r="N66" s="8">
        <f>IF(M66="","",M66*100*0.98)</f>
        <v/>
      </c>
      <c r="O66" s="12" t="n"/>
    </row>
    <row r="67" ht="18" customHeight="1">
      <c r="B67" s="6">
        <f>IF(E67="","",1+B66)</f>
        <v/>
      </c>
      <c r="C67" s="7">
        <f>IF(OR(E67="",F67=""),"",E67*F67/1000)</f>
        <v/>
      </c>
      <c r="D67" s="8">
        <f>IF(C67="","",C67*98)</f>
        <v/>
      </c>
      <c r="E67" s="9" t="n"/>
      <c r="F67" s="9" t="n"/>
      <c r="G67" s="9" t="n"/>
      <c r="H67" s="10">
        <f>IF(OR(C67="",I67=""),"",I67*C67)</f>
        <v/>
      </c>
      <c r="I67" s="11" t="n"/>
      <c r="J67" s="12" t="n"/>
      <c r="K67" s="9" t="n"/>
      <c r="L67" s="13" t="n"/>
      <c r="M67" s="7">
        <f>IF(OR(E67="",F67=""),"",E67*F67/1000)</f>
        <v/>
      </c>
      <c r="N67" s="8">
        <f>IF(M67="","",M67*100*0.98)</f>
        <v/>
      </c>
      <c r="O67" s="12" t="n"/>
    </row>
    <row r="68" ht="18" customHeight="1">
      <c r="B68" s="6">
        <f>IF(E68="","",1+B67)</f>
        <v/>
      </c>
      <c r="C68" s="7">
        <f>IF(OR(E68="",F68=""),"",E68*F68/1000)</f>
        <v/>
      </c>
      <c r="D68" s="8">
        <f>IF(C68="","",C68*98)</f>
        <v/>
      </c>
      <c r="E68" s="9" t="n"/>
      <c r="F68" s="9" t="n"/>
      <c r="G68" s="9" t="n"/>
      <c r="H68" s="10">
        <f>IF(OR(C68="",I68=""),"",I68*C68)</f>
        <v/>
      </c>
      <c r="I68" s="11" t="n"/>
      <c r="J68" s="12" t="n"/>
      <c r="K68" s="9" t="n"/>
      <c r="L68" s="13" t="n"/>
      <c r="M68" s="7">
        <f>IF(OR(E68="",F68=""),"",E68*F68/1000)</f>
        <v/>
      </c>
      <c r="N68" s="8">
        <f>IF(M68="","",M68*100*0.98)</f>
        <v/>
      </c>
      <c r="O68" s="12" t="n"/>
    </row>
    <row r="69" ht="18" customHeight="1">
      <c r="B69" s="6">
        <f>IF(E69="","",1+B68)</f>
        <v/>
      </c>
      <c r="C69" s="7">
        <f>IF(OR(E69="",F69=""),"",E69*F69/1000)</f>
        <v/>
      </c>
      <c r="D69" s="8">
        <f>IF(C69="","",C69*98)</f>
        <v/>
      </c>
      <c r="E69" s="9" t="n"/>
      <c r="F69" s="9" t="n"/>
      <c r="G69" s="9" t="n"/>
      <c r="H69" s="10">
        <f>IF(OR(C69="",I69=""),"",I69*C69)</f>
        <v/>
      </c>
      <c r="I69" s="11" t="n"/>
      <c r="J69" s="12" t="n"/>
      <c r="K69" s="9" t="n"/>
      <c r="L69" s="13" t="n"/>
      <c r="M69" s="7">
        <f>IF(OR(E69="",F69=""),"",E69*F69/1000)</f>
        <v/>
      </c>
      <c r="N69" s="8">
        <f>IF(M69="","",M69*100*0.98)</f>
        <v/>
      </c>
      <c r="O69" s="12" t="n"/>
    </row>
    <row r="70" ht="18" customHeight="1">
      <c r="B70" s="6">
        <f>IF(E70="","",1+B69)</f>
        <v/>
      </c>
      <c r="C70" s="7">
        <f>IF(OR(E70="",F70=""),"",E70*F70/1000)</f>
        <v/>
      </c>
      <c r="D70" s="8">
        <f>IF(C70="","",C70*98)</f>
        <v/>
      </c>
      <c r="E70" s="9" t="n"/>
      <c r="F70" s="9" t="n"/>
      <c r="G70" s="9" t="n"/>
      <c r="H70" s="10">
        <f>IF(OR(C70="",I70=""),"",I70*C70)</f>
        <v/>
      </c>
      <c r="I70" s="11" t="n"/>
      <c r="J70" s="12" t="n"/>
      <c r="K70" s="9" t="n"/>
      <c r="L70" s="13" t="n"/>
      <c r="M70" s="7">
        <f>IF(OR(E70="",F70=""),"",E70*F70/1000)</f>
        <v/>
      </c>
      <c r="N70" s="8">
        <f>IF(M70="","",M70*100*0.98)</f>
        <v/>
      </c>
      <c r="O70" s="12" t="n"/>
    </row>
    <row r="71" ht="18" customHeight="1">
      <c r="B71" s="6">
        <f>IF(E71="","",1+B70)</f>
        <v/>
      </c>
      <c r="C71" s="7">
        <f>IF(OR(E71="",F71=""),"",E71*F71/1000)</f>
        <v/>
      </c>
      <c r="D71" s="8">
        <f>IF(C71="","",C71*98)</f>
        <v/>
      </c>
      <c r="E71" s="9" t="n"/>
      <c r="F71" s="9" t="n"/>
      <c r="G71" s="9" t="n"/>
      <c r="H71" s="10">
        <f>IF(OR(C71="",I71=""),"",I71*C71)</f>
        <v/>
      </c>
      <c r="I71" s="11" t="n"/>
      <c r="J71" s="12" t="n"/>
      <c r="K71" s="9" t="n"/>
      <c r="L71" s="13" t="n"/>
      <c r="M71" s="7">
        <f>IF(OR(E71="",F71=""),"",E71*F71/1000)</f>
        <v/>
      </c>
      <c r="N71" s="8">
        <f>IF(M71="","",M71*100*0.98)</f>
        <v/>
      </c>
      <c r="O71" s="12" t="n"/>
    </row>
    <row r="72" ht="18" customHeight="1">
      <c r="B72" s="6">
        <f>IF(E72="","",1+B71)</f>
        <v/>
      </c>
      <c r="C72" s="7">
        <f>IF(OR(E72="",F72=""),"",E72*F72/1000)</f>
        <v/>
      </c>
      <c r="D72" s="8">
        <f>IF(C72="","",C72*98)</f>
        <v/>
      </c>
      <c r="E72" s="9" t="n"/>
      <c r="F72" s="9" t="n"/>
      <c r="G72" s="9" t="n"/>
      <c r="H72" s="10">
        <f>IF(OR(C72="",I72=""),"",I72*C72)</f>
        <v/>
      </c>
      <c r="I72" s="11" t="n"/>
      <c r="J72" s="12" t="n"/>
      <c r="K72" s="9" t="n"/>
      <c r="L72" s="13" t="n"/>
      <c r="M72" s="7">
        <f>IF(OR(E72="",F72=""),"",E72*F72/1000)</f>
        <v/>
      </c>
      <c r="N72" s="8">
        <f>IF(M72="","",M72*100*0.98)</f>
        <v/>
      </c>
      <c r="O72" s="12" t="n"/>
    </row>
    <row r="73" ht="18" customHeight="1">
      <c r="B73" s="6">
        <f>IF(E73="","",1+B72)</f>
        <v/>
      </c>
      <c r="C73" s="7">
        <f>IF(OR(E73="",F73=""),"",E73*F73/1000)</f>
        <v/>
      </c>
      <c r="D73" s="8">
        <f>IF(C73="","",C73*98)</f>
        <v/>
      </c>
      <c r="E73" s="9" t="n"/>
      <c r="F73" s="9" t="n"/>
      <c r="G73" s="9" t="n"/>
      <c r="H73" s="10">
        <f>IF(OR(C73="",I73=""),"",I73*C73)</f>
        <v/>
      </c>
      <c r="I73" s="11" t="n"/>
      <c r="J73" s="12" t="n"/>
      <c r="K73" s="9" t="n"/>
      <c r="L73" s="13" t="n"/>
      <c r="M73" s="7">
        <f>IF(OR(E73="",F73=""),"",E73*F73/1000)</f>
        <v/>
      </c>
      <c r="N73" s="8">
        <f>IF(M73="","",M73*100*0.98)</f>
        <v/>
      </c>
      <c r="O73" s="12" t="n"/>
    </row>
    <row r="74" ht="18" customHeight="1">
      <c r="B74" s="6">
        <f>IF(E74="","",1+B73)</f>
        <v/>
      </c>
      <c r="C74" s="7">
        <f>IF(OR(E74="",F74=""),"",E74*F74/1000)</f>
        <v/>
      </c>
      <c r="D74" s="8">
        <f>IF(C74="","",C74*98)</f>
        <v/>
      </c>
      <c r="E74" s="9" t="n"/>
      <c r="F74" s="9" t="n"/>
      <c r="G74" s="9" t="n"/>
      <c r="H74" s="10">
        <f>IF(OR(C74="",I74=""),"",I74*C74)</f>
        <v/>
      </c>
      <c r="I74" s="11" t="n"/>
      <c r="J74" s="12" t="n"/>
      <c r="K74" s="9" t="n"/>
      <c r="L74" s="13" t="n"/>
      <c r="M74" s="7">
        <f>IF(OR(E74="",F74=""),"",E74*F74/1000)</f>
        <v/>
      </c>
      <c r="N74" s="8">
        <f>IF(M74="","",M74*100*0.98)</f>
        <v/>
      </c>
      <c r="O74" s="12" t="n"/>
    </row>
    <row r="75" ht="18" customHeight="1">
      <c r="B75" s="6">
        <f>IF(E75="","",1+B74)</f>
        <v/>
      </c>
      <c r="C75" s="7">
        <f>IF(OR(E75="",F75=""),"",E75*F75/1000)</f>
        <v/>
      </c>
      <c r="D75" s="8">
        <f>IF(C75="","",C75*98)</f>
        <v/>
      </c>
      <c r="E75" s="9" t="n"/>
      <c r="F75" s="9" t="n"/>
      <c r="G75" s="9" t="n"/>
      <c r="H75" s="10">
        <f>IF(OR(C75="",I75=""),"",I75*C75)</f>
        <v/>
      </c>
      <c r="I75" s="11" t="n"/>
      <c r="J75" s="12" t="n"/>
      <c r="K75" s="9" t="n"/>
      <c r="L75" s="13" t="n"/>
      <c r="M75" s="7">
        <f>IF(OR(E75="",F75=""),"",E75*F75/1000)</f>
        <v/>
      </c>
      <c r="N75" s="8">
        <f>IF(M75="","",M75*100*0.98)</f>
        <v/>
      </c>
      <c r="O75" s="12" t="n"/>
    </row>
    <row r="76" ht="18" customHeight="1">
      <c r="B76" s="6">
        <f>IF(E76="","",1+B75)</f>
        <v/>
      </c>
      <c r="C76" s="7">
        <f>IF(OR(E76="",F76=""),"",E76*F76/1000)</f>
        <v/>
      </c>
      <c r="D76" s="8">
        <f>IF(C76="","",C76*98)</f>
        <v/>
      </c>
      <c r="E76" s="9" t="n"/>
      <c r="F76" s="9" t="n"/>
      <c r="G76" s="9" t="n"/>
      <c r="H76" s="10">
        <f>IF(OR(C76="",I76=""),"",I76*C76)</f>
        <v/>
      </c>
      <c r="I76" s="11" t="n"/>
      <c r="J76" s="12" t="n"/>
      <c r="K76" s="9" t="n"/>
      <c r="L76" s="13" t="n"/>
      <c r="M76" s="7">
        <f>IF(OR(E76="",F76=""),"",E76*F76/1000)</f>
        <v/>
      </c>
      <c r="N76" s="8">
        <f>IF(M76="","",M76*100*0.98)</f>
        <v/>
      </c>
      <c r="O76" s="12" t="n"/>
    </row>
    <row r="77" ht="18" customHeight="1">
      <c r="B77" s="6">
        <f>IF(E77="","",1+B76)</f>
        <v/>
      </c>
      <c r="C77" s="7">
        <f>IF(OR(E77="",F77=""),"",E77*F77/1000)</f>
        <v/>
      </c>
      <c r="D77" s="8">
        <f>IF(C77="","",C77*98)</f>
        <v/>
      </c>
      <c r="E77" s="9" t="n"/>
      <c r="F77" s="9" t="n"/>
      <c r="G77" s="9" t="n"/>
      <c r="H77" s="10">
        <f>IF(OR(C77="",I77=""),"",I77*C77)</f>
        <v/>
      </c>
      <c r="I77" s="11" t="n"/>
      <c r="J77" s="12" t="n"/>
      <c r="K77" s="9" t="n"/>
      <c r="L77" s="13" t="n"/>
      <c r="M77" s="7">
        <f>IF(OR(E77="",F77=""),"",E77*F77/1000)</f>
        <v/>
      </c>
      <c r="N77" s="8">
        <f>IF(M77="","",M77*100*0.98)</f>
        <v/>
      </c>
      <c r="O77" s="12" t="n"/>
    </row>
    <row r="78" ht="18" customHeight="1">
      <c r="B78" s="6">
        <f>IF(E78="","",1+B77)</f>
        <v/>
      </c>
      <c r="C78" s="7">
        <f>IF(OR(E78="",F78=""),"",E78*F78/1000)</f>
        <v/>
      </c>
      <c r="D78" s="8">
        <f>IF(C78="","",C78*98)</f>
        <v/>
      </c>
      <c r="E78" s="9" t="n"/>
      <c r="F78" s="9" t="n"/>
      <c r="G78" s="9" t="n"/>
      <c r="H78" s="10">
        <f>IF(OR(C78="",I78=""),"",I78*C78)</f>
        <v/>
      </c>
      <c r="I78" s="11" t="n"/>
      <c r="J78" s="12" t="n"/>
      <c r="K78" s="9" t="n"/>
      <c r="L78" s="13" t="n"/>
      <c r="M78" s="7">
        <f>IF(OR(E78="",F78=""),"",E78*F78/1000)</f>
        <v/>
      </c>
      <c r="N78" s="8">
        <f>IF(M78="","",M78*100*0.98)</f>
        <v/>
      </c>
      <c r="O78" s="12" t="n"/>
    </row>
    <row r="79" ht="18" customHeight="1">
      <c r="B79" s="6">
        <f>IF(E79="","",1+B78)</f>
        <v/>
      </c>
      <c r="C79" s="7">
        <f>IF(OR(E79="",F79=""),"",E79*F79/1000)</f>
        <v/>
      </c>
      <c r="D79" s="8">
        <f>IF(C79="","",C79*98)</f>
        <v/>
      </c>
      <c r="E79" s="9" t="n"/>
      <c r="F79" s="9" t="n"/>
      <c r="G79" s="9" t="n"/>
      <c r="H79" s="10">
        <f>IF(OR(C79="",I79=""),"",I79*C79)</f>
        <v/>
      </c>
      <c r="I79" s="11" t="n"/>
      <c r="J79" s="12" t="n"/>
      <c r="K79" s="9" t="n"/>
      <c r="L79" s="13" t="n"/>
      <c r="M79" s="7">
        <f>IF(OR(E79="",F79=""),"",E79*F79/1000)</f>
        <v/>
      </c>
      <c r="N79" s="8">
        <f>IF(M79="","",M79*100*0.98)</f>
        <v/>
      </c>
      <c r="O79" s="12" t="n"/>
    </row>
    <row r="80" ht="18" customHeight="1">
      <c r="B80" s="6">
        <f>IF(E80="","",1+B79)</f>
        <v/>
      </c>
      <c r="C80" s="7">
        <f>IF(OR(E80="",F80=""),"",E80*F80/1000)</f>
        <v/>
      </c>
      <c r="D80" s="8">
        <f>IF(C80="","",C80*98)</f>
        <v/>
      </c>
      <c r="E80" s="9" t="n"/>
      <c r="F80" s="9" t="n"/>
      <c r="G80" s="9" t="n"/>
      <c r="H80" s="10">
        <f>IF(OR(C80="",I80=""),"",I80*C80)</f>
        <v/>
      </c>
      <c r="I80" s="11" t="n"/>
      <c r="J80" s="12" t="n"/>
      <c r="K80" s="9" t="n"/>
      <c r="L80" s="13" t="n"/>
      <c r="M80" s="7">
        <f>IF(OR(E80="",F80=""),"",E80*F80/1000)</f>
        <v/>
      </c>
      <c r="N80" s="8">
        <f>IF(M80="","",M80*100*0.98)</f>
        <v/>
      </c>
      <c r="O80" s="12" t="n"/>
    </row>
    <row r="81" ht="18" customHeight="1">
      <c r="B81" s="6">
        <f>IF(E81="","",1+B80)</f>
        <v/>
      </c>
      <c r="C81" s="7">
        <f>IF(OR(E81="",F81=""),"",E81*F81/1000)</f>
        <v/>
      </c>
      <c r="D81" s="8">
        <f>IF(C81="","",C81*98)</f>
        <v/>
      </c>
      <c r="E81" s="9" t="n"/>
      <c r="F81" s="9" t="n"/>
      <c r="G81" s="9" t="n"/>
      <c r="H81" s="10">
        <f>IF(OR(C81="",I81=""),"",I81*C81)</f>
        <v/>
      </c>
      <c r="I81" s="11" t="n"/>
      <c r="J81" s="12" t="n"/>
      <c r="K81" s="9" t="n"/>
      <c r="L81" s="13" t="n"/>
      <c r="M81" s="7">
        <f>IF(OR(E81="",F81=""),"",E81*F81/1000)</f>
        <v/>
      </c>
      <c r="N81" s="8">
        <f>IF(M81="","",M81*100*0.98)</f>
        <v/>
      </c>
      <c r="O81" s="12" t="n"/>
    </row>
    <row r="82" ht="18" customHeight="1">
      <c r="B82" s="6">
        <f>IF(E82="","",1+B81)</f>
        <v/>
      </c>
      <c r="C82" s="7">
        <f>IF(OR(E82="",F82=""),"",E82*F82/1000)</f>
        <v/>
      </c>
      <c r="D82" s="8">
        <f>IF(C82="","",C82*98)</f>
        <v/>
      </c>
      <c r="E82" s="9" t="n"/>
      <c r="F82" s="9" t="n"/>
      <c r="G82" s="9" t="n"/>
      <c r="H82" s="10">
        <f>IF(OR(C82="",I82=""),"",I82*C82)</f>
        <v/>
      </c>
      <c r="I82" s="11" t="n"/>
      <c r="J82" s="12" t="n"/>
      <c r="K82" s="9" t="n"/>
      <c r="L82" s="13" t="n"/>
      <c r="M82" s="7">
        <f>IF(OR(E82="",F82=""),"",E82*F82/1000)</f>
        <v/>
      </c>
      <c r="N82" s="8">
        <f>IF(M82="","",M82*100*0.98)</f>
        <v/>
      </c>
      <c r="O82" s="12" t="n"/>
    </row>
    <row r="83" ht="18" customHeight="1">
      <c r="B83" s="6">
        <f>IF(E83="","",1+B82)</f>
        <v/>
      </c>
      <c r="C83" s="7">
        <f>IF(OR(E83="",F83=""),"",E83*F83/1000)</f>
        <v/>
      </c>
      <c r="D83" s="8">
        <f>IF(C83="","",C83*98)</f>
        <v/>
      </c>
      <c r="E83" s="9" t="n"/>
      <c r="F83" s="9" t="n"/>
      <c r="G83" s="9" t="n"/>
      <c r="H83" s="10">
        <f>IF(OR(C83="",I83=""),"",I83*C83)</f>
        <v/>
      </c>
      <c r="I83" s="11" t="n"/>
      <c r="J83" s="12" t="n"/>
      <c r="K83" s="9" t="n"/>
      <c r="L83" s="13" t="n"/>
      <c r="M83" s="7">
        <f>IF(OR(E83="",F83=""),"",E83*F83/1000)</f>
        <v/>
      </c>
      <c r="N83" s="8">
        <f>IF(M83="","",M83*100*0.98)</f>
        <v/>
      </c>
      <c r="O83" s="12" t="n"/>
    </row>
    <row r="84" ht="18" customHeight="1">
      <c r="B84" s="6">
        <f>IF(E84="","",1+B83)</f>
        <v/>
      </c>
      <c r="C84" s="7">
        <f>IF(OR(E84="",F84=""),"",E84*F84/1000)</f>
        <v/>
      </c>
      <c r="D84" s="8">
        <f>IF(C84="","",C84*98)</f>
        <v/>
      </c>
      <c r="E84" s="9" t="n"/>
      <c r="F84" s="9" t="n"/>
      <c r="G84" s="9" t="n"/>
      <c r="H84" s="10">
        <f>IF(OR(C84="",I84=""),"",I84*C84)</f>
        <v/>
      </c>
      <c r="I84" s="11" t="n"/>
      <c r="J84" s="12" t="n"/>
      <c r="K84" s="9" t="n"/>
      <c r="L84" s="13" t="n"/>
      <c r="M84" s="7">
        <f>IF(OR(E84="",F84=""),"",E84*F84/1000)</f>
        <v/>
      </c>
      <c r="N84" s="8">
        <f>IF(M84="","",M84*100*0.98)</f>
        <v/>
      </c>
      <c r="O84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B4:O84"/>
  <mergeCells count="2">
    <mergeCell ref="B3:O3"/>
    <mergeCell ref="B2:O2"/>
  </mergeCells>
  <dataValidations count="1">
    <dataValidation sqref="K5:K84" showDropDown="0" showInputMessage="0" showErrorMessage="0" allowBlank="1" errorTitle="Padrão / Fase" error="Use Monofásico ou Trifásico" type="list">
      <formula1>"Monofásico,Trifásico"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2026-08-14T13:33:05Z</dcterms:created>
  <dcterms:modified xsi:type="dcterms:W3CDTF">2026-08-14T13:41:04Z</dcterms:modified>
</cp:coreProperties>
</file>